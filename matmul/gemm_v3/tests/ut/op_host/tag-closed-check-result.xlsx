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u/>
      <color rgb="0563C1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3E3E3"/>
        <bgColor/>
      </patternFill>
    </fill>
    <fill>
      <patternFill patternType="solid">
        <fgColor rgb="FFE3E3E3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 wrapText="true"/>
    </xf>
    <xf numFmtId="0" fontId="3" fillId="3" borderId="0" xfId="0" applyFont="1" applyFill="1" applyAlignment="1">
      <alignment horizontal="left" vertical="center" wrapText="true"/>
    </xf>
    <xf numFmtId="0" fontId="0" fillId="0" borderId="0" xfId="0" applyAlignment="1">
      <alignment horizontal="left" vertical="center" wrapText="true"/>
    </xf>
    <xf numFmtId="0" fontId="4" fillId="0" borderId="0" xfId="0" applyFont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2"/>
  <sheetViews>
    <sheetView workbookViewId="0"/>
  </sheetViews>
  <cols>
    <col min="1" max="1" width="10.83203125" customWidth="1"/>
    <col min="2" max="2" width="20.83203125" customWidth="1"/>
    <col min="3" max="3" width="50.83203125" customWidth="1"/>
    <col min="4" max="4" width="80.83203125" customWidth="1"/>
    <col min="5" max="5" width="15.83203125" customWidth="1"/>
    <col min="6" max="6" width="50.83203125" customWidth="1"/>
    <col min="7" max="7" width="50.83203125" customWidth="1"/>
  </cols>
  <sheetData>
    <row r="1">
      <c r="A1" s="3" t="str">
        <v>序号</v>
      </c>
      <c r="B1" s="4" t="str">
        <v>类型</v>
      </c>
      <c r="C1" s="4" t="str">
        <v>名称</v>
      </c>
      <c r="D1" s="4" t="str">
        <v>文件地址</v>
      </c>
      <c r="E1" s="4" t="str">
        <v>位置行数</v>
      </c>
      <c r="F1" s="4" t="str">
        <v>错误信息</v>
      </c>
      <c r="G1" s="4" t="str">
        <v>内容</v>
      </c>
    </row>
    <row r="2">
      <c r="A2" s="5">
        <v>1</v>
      </c>
      <c r="B2" s="5" t="str">
        <v>tag-closed-check</v>
      </c>
      <c r="C2" s="5" t="str">
        <v>README.md</v>
      </c>
      <c r="D2" s="6" t="str">
        <f>=HYPERLINK("https://gitcode.com/caiwenwen/ops-nn/blob/master/activation/gelu_quant/README.md#L107-L107","https://gitcode.com/caiwenwen/ops-nn/blob/master/activation/gelu_quant/README.md#L107-L107")</f>
        <v>https://gitcode.com/caiwenwen/ops-nn/blob/master/activation/gelu_quant/README.md#L107-L107</v>
      </c>
      <c r="E2" s="5" t="str">
        <v>107</v>
      </c>
      <c r="F2" s="5" t="str">
        <v>Html 标签匹配失败：&lt;tr&gt;</v>
      </c>
      <c r="G2" s="5" t="str">
        <v>&lt;tr&gt;</v>
      </c>
    </row>
    <row r="3">
      <c r="A3" s="5">
        <v>2</v>
      </c>
      <c r="B3" s="5" t="str">
        <v>tag-closed-check</v>
      </c>
      <c r="C3" s="5" t="str">
        <v>aclnnThnnFusedLstmCell.md</v>
      </c>
      <c r="D3" s="6" t="str">
        <f>=HYPERLINK("https://gitcode.com/caiwenwen/ops-nn/blob/master/rnn/thnn_fused_lstm_cell/docs/aclnnThnnFusedLstmCell.md#L206-L206","https://gitcode.com/caiwenwen/ops-nn/blob/master/rnn/thnn_fused_lstm_cell/docs/aclnnThnnFusedLstmCell.md#L206-L206")</f>
        <v>https://gitcode.com/caiwenwen/ops-nn/blob/master/rnn/thnn_fused_lstm_cell/docs/aclnnThnnFusedLstmCell.md#L206-L206</v>
      </c>
      <c r="E3" s="5" t="str">
        <v>206</v>
      </c>
      <c r="F3" s="5" t="str">
        <v>Html 标签匹配失败：&lt;/table&gt;</v>
      </c>
      <c r="G3" s="5" t="str">
        <v>&lt;/table&gt;</v>
      </c>
    </row>
    <row r="4">
      <c r="A4" s="5">
        <v>3</v>
      </c>
      <c r="B4" s="5" t="str">
        <v>tag-closed-check</v>
      </c>
      <c r="C4" s="5" t="str">
        <v>aclnnDequantSwigluQuant.md</v>
      </c>
      <c r="D4" s="6" t="str">
        <f>=HYPERLINK("https://gitcode.com/caiwenwen/ops-nn/blob/master/quant/dequant_swiglu_quant/docs/aclnnDequantSwigluQuant.md#L100-L100","https://gitcode.com/caiwenwen/ops-nn/blob/master/quant/dequant_swiglu_quant/docs/aclnnDequantSwigluQuant.md#L100-L100")</f>
        <v>https://gitcode.com/caiwenwen/ops-nn/blob/master/quant/dequant_swiglu_quant/docs/aclnnDequantSwigluQuant.md#L100-L100</v>
      </c>
      <c r="E4" s="5" t="str">
        <v>100</v>
      </c>
      <c r="F4" s="5" t="str">
        <v>Html 标签匹配失败：&lt;tr&gt;</v>
      </c>
      <c r="G4" s="5" t="str">
        <v>&lt;tr&gt;</v>
      </c>
    </row>
    <row r="5">
      <c r="A5" s="5">
        <v>4</v>
      </c>
      <c r="B5" s="5" t="str">
        <v>tag-closed-check</v>
      </c>
      <c r="C5" s="5" t="str">
        <v>aclnnAdaptiveAvgPool3d.md</v>
      </c>
      <c r="D5" s="6" t="str">
        <f>=HYPERLINK("https://gitcode.com/caiwenwen/ops-nn/blob/master/pooling/adaptive_avg_pool3d/docs/aclnnAdaptiveAvgPool3d.md#L126-L126","https://gitcode.com/caiwenwen/ops-nn/blob/master/pooling/adaptive_avg_pool3d/docs/aclnnAdaptiveAvgPool3d.md#L126-L126")</f>
        <v>https://gitcode.com/caiwenwen/ops-nn/blob/master/pooling/adaptive_avg_pool3d/docs/aclnnAdaptiveAvgPool3d.md#L126-L126</v>
      </c>
      <c r="E5" s="5" t="str">
        <v>126</v>
      </c>
      <c r="F5" s="5" t="str">
        <v>Html 标签匹配失败：&lt;/colgroup&gt;</v>
      </c>
      <c r="G5" s="5" t="str">
        <v>&lt;/colgroup&gt;</v>
      </c>
    </row>
    <row r="6">
      <c r="A6" s="5">
        <v>5</v>
      </c>
      <c r="B6" s="5" t="str">
        <v>tag-closed-check</v>
      </c>
      <c r="C6" s="5" t="str">
        <v>aclnnAdaptiveAvgPool3d.md</v>
      </c>
      <c r="D6" s="6" t="str">
        <f>=HYPERLINK("https://gitcode.com/caiwenwen/ops-nn/blob/master/pooling/adaptive_avg_pool3d/docs/aclnnAdaptiveAvgPool3d.md#L162-L162","https://gitcode.com/caiwenwen/ops-nn/blob/master/pooling/adaptive_avg_pool3d/docs/aclnnAdaptiveAvgPool3d.md#L162-L162")</f>
        <v>https://gitcode.com/caiwenwen/ops-nn/blob/master/pooling/adaptive_avg_pool3d/docs/aclnnAdaptiveAvgPool3d.md#L162-L162</v>
      </c>
      <c r="E6" s="5" t="str">
        <v>162</v>
      </c>
      <c r="F6" s="5" t="str">
        <v>Html 标签匹配失败：&lt;/table&gt;</v>
      </c>
      <c r="G6" s="5" t="str">
        <v>&lt;/table&gt;</v>
      </c>
    </row>
    <row r="7">
      <c r="A7" s="5">
        <v>6</v>
      </c>
      <c r="B7" s="5" t="str">
        <v>tag-closed-check</v>
      </c>
      <c r="C7" s="5" t="str">
        <v>aclnnApplyAdam.md</v>
      </c>
      <c r="D7" s="6" t="str">
        <f>=HYPERLINK("https://gitcode.com/caiwenwen/ops-nn/blob/master/optim/apply_adam/docs/aclnnApplyAdam.md#L249-L249","https://gitcode.com/caiwenwen/ops-nn/blob/master/optim/apply_adam/docs/aclnnApplyAdam.md#L249-L249")</f>
        <v>https://gitcode.com/caiwenwen/ops-nn/blob/master/optim/apply_adam/docs/aclnnApplyAdam.md#L249-L249</v>
      </c>
      <c r="E7" s="5" t="str">
        <v>249</v>
      </c>
      <c r="F7" s="5" t="str">
        <v>Html 标签匹配失败：&lt;/style&gt;</v>
      </c>
      <c r="G7" s="5" t="str">
        <v>&lt;/style&gt;</v>
      </c>
    </row>
    <row r="8">
      <c r="A8" s="5">
        <v>7</v>
      </c>
      <c r="B8" s="5" t="str">
        <v>tag-closed-check</v>
      </c>
      <c r="C8" s="5" t="str">
        <v>aclnnApplyAdam.md</v>
      </c>
      <c r="D8" s="6" t="str">
        <f>=HYPERLINK("https://gitcode.com/caiwenwen/ops-nn/blob/master/optim/apply_adam/docs/aclnnApplyAdam.md#L79-L79","https://gitcode.com/caiwenwen/ops-nn/blob/master/optim/apply_adam/docs/aclnnApplyAdam.md#L79-L79")</f>
        <v>https://gitcode.com/caiwenwen/ops-nn/blob/master/optim/apply_adam/docs/aclnnApplyAdam.md#L79-L79</v>
      </c>
      <c r="E8" s="5" t="str">
        <v>79</v>
      </c>
      <c r="F8" s="5" t="str">
        <v>Html 标签匹配失败：&lt;/style&gt;</v>
      </c>
      <c r="G8" s="5" t="str">
        <v>&lt;/style&gt;</v>
      </c>
    </row>
    <row r="9">
      <c r="A9" s="5">
        <v>8</v>
      </c>
      <c r="B9" s="5" t="str">
        <v>tag-closed-check</v>
      </c>
      <c r="C9" s="5" t="str">
        <v>aclnnSyncBatchNormGatherStats.md</v>
      </c>
      <c r="D9" s="6" t="str">
        <f>=HYPERLINK("https://gitcode.com/caiwenwen/ops-nn/blob/master/norm/sync_batch_norm_gather_stats/docs/aclnnSyncBatchNormGatherStats.md#L76-L76","https://gitcode.com/caiwenwen/ops-nn/blob/master/norm/sync_batch_norm_gather_stats/docs/aclnnSyncBatchNormGatherStats.md#L76-L76")</f>
        <v>https://gitcode.com/caiwenwen/ops-nn/blob/master/norm/sync_batch_norm_gather_stats/docs/aclnnSyncBatchNormGatherStats.md#L76-L76</v>
      </c>
      <c r="E9" s="5" t="str">
        <v>76</v>
      </c>
      <c r="F9" s="5" t="str">
        <v>Html 标签匹配失败：&lt;table style="undefined;table-layout: fixed; width: 1567px"&gt;</v>
      </c>
      <c r="G9" s="5" t="str">
        <v>&lt;table style="undefined;table-layout: fixed; width: 1567px"&gt;</v>
      </c>
    </row>
    <row r="10">
      <c r="A10" s="5">
        <v>9</v>
      </c>
      <c r="B10" s="5" t="str">
        <v>tag-closed-check</v>
      </c>
      <c r="C10" s="5" t="str">
        <v>aclnnGroupNorm.md</v>
      </c>
      <c r="D10" s="6" t="str">
        <f>=HYPERLINK("https://gitcode.com/caiwenwen/ops-nn/blob/master/norm/group_norm/docs/aclnnGroupNorm.md#L130-L130","https://gitcode.com/caiwenwen/ops-nn/blob/master/norm/group_norm/docs/aclnnGroupNorm.md#L130-L130")</f>
        <v>https://gitcode.com/caiwenwen/ops-nn/blob/master/norm/group_norm/docs/aclnnGroupNorm.md#L130-L130</v>
      </c>
      <c r="E10" s="5" t="str">
        <v>130</v>
      </c>
      <c r="F10" s="5" t="str">
        <v>Html 标签匹配失败：&lt;/tr&gt;</v>
      </c>
      <c r="G10" s="5" t="str">
        <v>&lt;/tr&gt;</v>
      </c>
    </row>
    <row r="11">
      <c r="A11" s="5">
        <v>10</v>
      </c>
      <c r="B11" s="5" t="str">
        <v>tag-closed-check</v>
      </c>
      <c r="C11" s="5" t="str">
        <v>aclnnGroupNorm.md</v>
      </c>
      <c r="D11" s="6" t="str">
        <f>=HYPERLINK("https://gitcode.com/caiwenwen/ops-nn/blob/master/norm/group_norm/docs/aclnnGroupNorm.md#L151-L151","https://gitcode.com/caiwenwen/ops-nn/blob/master/norm/group_norm/docs/aclnnGroupNorm.md#L151-L151")</f>
        <v>https://gitcode.com/caiwenwen/ops-nn/blob/master/norm/group_norm/docs/aclnnGroupNorm.md#L151-L151</v>
      </c>
      <c r="E11" s="5" t="str">
        <v>151</v>
      </c>
      <c r="F11" s="5" t="str">
        <v>Html 标签匹配失败：&lt;/tr&gt;</v>
      </c>
      <c r="G11" s="5" t="str">
        <v>&lt;/tr&gt;</v>
      </c>
    </row>
    <row r="12">
      <c r="A12" s="5">
        <v>11</v>
      </c>
      <c r="B12" s="5" t="str">
        <v>tag-closed-check</v>
      </c>
      <c r="C12" s="5" t="str">
        <v>aclnnBatchNorm.md</v>
      </c>
      <c r="D12" s="6" t="str">
        <f>=HYPERLINK("https://gitcode.com/caiwenwen/ops-nn/blob/master/norm/batch_norm_v3/docs/aclnnBatchNorm.md#L133-L133","https://gitcode.com/caiwenwen/ops-nn/blob/master/norm/batch_norm_v3/docs/aclnnBatchNorm.md#L133-L133")</f>
        <v>https://gitcode.com/caiwenwen/ops-nn/blob/master/norm/batch_norm_v3/docs/aclnnBatchNorm.md#L133-L133</v>
      </c>
      <c r="E12" s="5" t="str">
        <v>133</v>
      </c>
      <c r="F12" s="5" t="str">
        <v>Html 标签匹配失败：&lt;/tr&gt;</v>
      </c>
      <c r="G12" s="5" t="str">
        <v>&lt;/tr&gt;</v>
      </c>
    </row>
    <row r="13">
      <c r="A13" s="5">
        <v>12</v>
      </c>
      <c r="B13" s="5" t="str">
        <v>tag-closed-check</v>
      </c>
      <c r="C13" s="5" t="str">
        <v>aclnnBatchNormElemt.md</v>
      </c>
      <c r="D13" s="6" t="str">
        <f>=HYPERLINK("https://gitcode.com/caiwenwen/ops-nn/blob/master/norm/batch_norm_elemt/docs/aclnnBatchNormElemt.md#L134-L134","https://gitcode.com/caiwenwen/ops-nn/blob/master/norm/batch_norm_elemt/docs/aclnnBatchNormElemt.md#L134-L134")</f>
        <v>https://gitcode.com/caiwenwen/ops-nn/blob/master/norm/batch_norm_elemt/docs/aclnnBatchNormElemt.md#L134-L134</v>
      </c>
      <c r="E13" s="5" t="str">
        <v>134</v>
      </c>
      <c r="F13" s="5" t="str">
        <v>Html 标签匹配失败：&lt;/tr&gt;</v>
      </c>
      <c r="G13" s="5" t="str">
        <v>&lt;/tr&gt;</v>
      </c>
    </row>
    <row r="14">
      <c r="A14" s="5">
        <v>13</v>
      </c>
      <c r="B14" s="5" t="str">
        <v>tag-closed-check</v>
      </c>
      <c r="C14" s="5" t="str">
        <v>aclnnAddRmsNormQuantV2.md</v>
      </c>
      <c r="D14" s="6" t="str">
        <f>=HYPERLINK("https://gitcode.com/caiwenwen/ops-nn/blob/master/norm/add_rms_norm_quant_v2/docs/aclnnAddRmsNormQuantV2.md#L144-L144","https://gitcode.com/caiwenwen/ops-nn/blob/master/norm/add_rms_norm_quant_v2/docs/aclnnAddRmsNormQuantV2.md#L144-L144")</f>
        <v>https://gitcode.com/caiwenwen/ops-nn/blob/master/norm/add_rms_norm_quant_v2/docs/aclnnAddRmsNormQuantV2.md#L144-L144</v>
      </c>
      <c r="E14" s="5" t="str">
        <v>144</v>
      </c>
      <c r="F14" s="5" t="str">
        <v>Html 标签匹配失败：&lt;tr&gt;</v>
      </c>
      <c r="G14" s="5" t="str">
        <v>&lt;tr&gt;</v>
      </c>
    </row>
    <row r="15">
      <c r="A15" s="5">
        <v>14</v>
      </c>
      <c r="B15" s="5" t="str">
        <v>tag-closed-check</v>
      </c>
      <c r="C15" s="5" t="str">
        <v>aclnnAddRmsNormQuant.md</v>
      </c>
      <c r="D15" s="6" t="str">
        <f>=HYPERLINK("https://gitcode.com/caiwenwen/ops-nn/blob/master/norm/add_rms_norm_quant/docs/aclnnAddRmsNormQuant.md#L150-L150","https://gitcode.com/caiwenwen/ops-nn/blob/master/norm/add_rms_norm_quant/docs/aclnnAddRmsNormQuant.md#L150-L150")</f>
        <v>https://gitcode.com/caiwenwen/ops-nn/blob/master/norm/add_rms_norm_quant/docs/aclnnAddRmsNormQuant.md#L150-L150</v>
      </c>
      <c r="E15" s="5" t="str">
        <v>150</v>
      </c>
      <c r="F15" s="5" t="str">
        <v>Html 标签匹配失败：&lt;li&gt;</v>
      </c>
      <c r="G15" s="5" t="str">
        <v>&lt;li&gt;</v>
      </c>
    </row>
    <row r="16">
      <c r="A16" s="5">
        <v>15</v>
      </c>
      <c r="B16" s="5" t="str">
        <v>tag-closed-check</v>
      </c>
      <c r="C16" s="5" t="str">
        <v>aclnnAddRmsNormQuant.md</v>
      </c>
      <c r="D16" s="6" t="str">
        <f>=HYPERLINK("https://gitcode.com/caiwenwen/ops-nn/blob/master/norm/add_rms_norm_quant/docs/aclnnAddRmsNormQuant.md#L137-L137","https://gitcode.com/caiwenwen/ops-nn/blob/master/norm/add_rms_norm_quant/docs/aclnnAddRmsNormQuant.md#L137-L137")</f>
        <v>https://gitcode.com/caiwenwen/ops-nn/blob/master/norm/add_rms_norm_quant/docs/aclnnAddRmsNormQuant.md#L137-L137</v>
      </c>
      <c r="E16" s="5" t="str">
        <v>137</v>
      </c>
      <c r="F16" s="5" t="str">
        <v>Html 标签匹配失败：&lt;tr&gt;</v>
      </c>
      <c r="G16" s="5" t="str">
        <v>&lt;tr&gt;</v>
      </c>
    </row>
    <row r="17">
      <c r="A17" s="5">
        <v>16</v>
      </c>
      <c r="B17" s="5" t="str">
        <v>tag-closed-check</v>
      </c>
      <c r="C17" s="5" t="str">
        <v>aclnnAddRmsNorm.md</v>
      </c>
      <c r="D17" s="6" t="str">
        <f>=HYPERLINK("https://gitcode.com/caiwenwen/ops-nn/blob/master/norm/add_rms_norm/docs/aclnnAddRmsNorm.md#L115-L115","https://gitcode.com/caiwenwen/ops-nn/blob/master/norm/add_rms_norm/docs/aclnnAddRmsNorm.md#L115-L115")</f>
        <v>https://gitcode.com/caiwenwen/ops-nn/blob/master/norm/add_rms_norm/docs/aclnnAddRmsNorm.md#L115-L115</v>
      </c>
      <c r="E17" s="5" t="str">
        <v>115</v>
      </c>
      <c r="F17" s="5" t="str">
        <v>Html 标签匹配失败：&lt;li&gt;</v>
      </c>
      <c r="G17" s="5" t="str">
        <v>&lt;li&gt;</v>
      </c>
    </row>
    <row r="18">
      <c r="A18" s="5">
        <v>17</v>
      </c>
      <c r="B18" s="5" t="str">
        <v>tag-closed-check</v>
      </c>
      <c r="C18" s="5" t="str">
        <v>aclnnAddRmsNorm.md</v>
      </c>
      <c r="D18" s="6" t="str">
        <f>=HYPERLINK("https://gitcode.com/caiwenwen/ops-nn/blob/master/norm/add_rms_norm/docs/aclnnAddRmsNorm.md#L115-L115","https://gitcode.com/caiwenwen/ops-nn/blob/master/norm/add_rms_norm/docs/aclnnAddRmsNorm.md#L115-L115")</f>
        <v>https://gitcode.com/caiwenwen/ops-nn/blob/master/norm/add_rms_norm/docs/aclnnAddRmsNorm.md#L115-L115</v>
      </c>
      <c r="E18" s="5" t="str">
        <v>115</v>
      </c>
      <c r="F18" s="5" t="str">
        <v>Html 标签匹配失败：&lt;ul&gt;</v>
      </c>
      <c r="G18" s="5" t="str">
        <v>&lt;ul&gt;</v>
      </c>
    </row>
    <row r="19">
      <c r="A19" s="5">
        <v>18</v>
      </c>
      <c r="B19" s="5" t="str">
        <v>tag-closed-check</v>
      </c>
      <c r="C19" s="5" t="str">
        <v>aclnnAddRmsNorm.md</v>
      </c>
      <c r="D19" s="6" t="str">
        <f>=HYPERLINK("https://gitcode.com/caiwenwen/ops-nn/blob/master/norm/add_rms_norm/docs/aclnnAddRmsNorm.md#L115-L115","https://gitcode.com/caiwenwen/ops-nn/blob/master/norm/add_rms_norm/docs/aclnnAddRmsNorm.md#L115-L115")</f>
        <v>https://gitcode.com/caiwenwen/ops-nn/blob/master/norm/add_rms_norm/docs/aclnnAddRmsNorm.md#L115-L115</v>
      </c>
      <c r="E19" s="5" t="str">
        <v>115</v>
      </c>
      <c r="F19" s="5" t="str">
        <v>Html 标签匹配失败：&lt;td&gt;</v>
      </c>
      <c r="G19" s="5" t="str">
        <v>&lt;td&gt;</v>
      </c>
    </row>
    <row r="20">
      <c r="A20" s="5">
        <v>19</v>
      </c>
      <c r="B20" s="5" t="str">
        <v>tag-closed-check</v>
      </c>
      <c r="C20" s="5" t="str">
        <v>aclnnAddLayerNormQuant.md</v>
      </c>
      <c r="D20" s="6" t="str">
        <f>=HYPERLINK("https://gitcode.com/caiwenwen/ops-nn/blob/master/norm/add_layer_norm_quant/docs/aclnnAddLayerNormQuant.md#L397-L397","https://gitcode.com/caiwenwen/ops-nn/blob/master/norm/add_layer_norm_quant/docs/aclnnAddLayerNormQuant.md#L397-L397")</f>
        <v>https://gitcode.com/caiwenwen/ops-nn/blob/master/norm/add_layer_norm_quant/docs/aclnnAddLayerNormQuant.md#L397-L397</v>
      </c>
      <c r="E20" s="5" t="str">
        <v>397</v>
      </c>
      <c r="F20" s="5" t="str">
        <v>Html 标签匹配失败：&lt;li&gt;</v>
      </c>
      <c r="G20" s="5" t="str">
        <v>&lt;li&gt;</v>
      </c>
    </row>
    <row r="21">
      <c r="A21" s="5">
        <v>20</v>
      </c>
      <c r="B21" s="5" t="str">
        <v>tag-closed-check</v>
      </c>
      <c r="C21" s="5" t="str">
        <v>aclnnAddLayerNormQuant.md</v>
      </c>
      <c r="D21" s="6" t="str">
        <f>=HYPERLINK("https://gitcode.com/caiwenwen/ops-nn/blob/master/norm/add_layer_norm_quant/docs/aclnnAddLayerNormQuant.md#L394-L394","https://gitcode.com/caiwenwen/ops-nn/blob/master/norm/add_layer_norm_quant/docs/aclnnAddLayerNormQuant.md#L394-L394")</f>
        <v>https://gitcode.com/caiwenwen/ops-nn/blob/master/norm/add_layer_norm_quant/docs/aclnnAddLayerNormQuant.md#L394-L394</v>
      </c>
      <c r="E21" s="5" t="str">
        <v>394</v>
      </c>
      <c r="F21" s="5" t="str">
        <v>Html 标签匹配失败：&lt;ol&gt;</v>
      </c>
      <c r="G21" s="5" t="str">
        <v>&lt;ol&gt;</v>
      </c>
    </row>
    <row r="22">
      <c r="A22" s="5">
        <v>21</v>
      </c>
      <c r="B22" s="5" t="str">
        <v>tag-closed-check</v>
      </c>
      <c r="C22" s="5" t="str">
        <v>aclnnAdaLayerNormBackward.md</v>
      </c>
      <c r="D22" s="6" t="str">
        <f>=HYPERLINK("https://gitcode.com/caiwenwen/ops-nn/blob/master/norm/ada_layer_norm_grad/docs/aclnnAdaLayerNormBackward.md#L130-L130","https://gitcode.com/caiwenwen/ops-nn/blob/master/norm/ada_layer_norm_grad/docs/aclnnAdaLayerNormBackward.md#L130-L130")</f>
        <v>https://gitcode.com/caiwenwen/ops-nn/blob/master/norm/ada_layer_norm_grad/docs/aclnnAdaLayerNormBackward.md#L130-L130</v>
      </c>
      <c r="E22" s="5" t="str">
        <v>130</v>
      </c>
      <c r="F22" s="5" t="str">
        <v>Html 标签匹配失败：&lt;li&gt;</v>
      </c>
      <c r="G22" s="5" t="str">
        <v>&lt;li&gt;</v>
      </c>
    </row>
    <row r="23">
      <c r="A23" s="5">
        <v>22</v>
      </c>
      <c r="B23" s="5" t="str">
        <v>tag-closed-check</v>
      </c>
      <c r="C23" s="5" t="str">
        <v>aclnnAdaLayerNormBackward.md</v>
      </c>
      <c r="D23" s="6" t="str">
        <f>=HYPERLINK("https://gitcode.com/caiwenwen/ops-nn/blob/master/norm/ada_layer_norm_grad/docs/aclnnAdaLayerNormBackward.md#L130-L130","https://gitcode.com/caiwenwen/ops-nn/blob/master/norm/ada_layer_norm_grad/docs/aclnnAdaLayerNormBackward.md#L130-L130")</f>
        <v>https://gitcode.com/caiwenwen/ops-nn/blob/master/norm/ada_layer_norm_grad/docs/aclnnAdaLayerNormBackward.md#L130-L130</v>
      </c>
      <c r="E23" s="5" t="str">
        <v>130</v>
      </c>
      <c r="F23" s="5" t="str">
        <v>Html 标签匹配失败：&lt;li&gt;</v>
      </c>
      <c r="G23" s="5" t="str">
        <v>&lt;li&gt;</v>
      </c>
    </row>
    <row r="24">
      <c r="A24" s="5">
        <v>23</v>
      </c>
      <c r="B24" s="5" t="str">
        <v>tag-closed-check</v>
      </c>
      <c r="C24" s="5" t="str">
        <v>aclnnAdaLayerNormBackward.md</v>
      </c>
      <c r="D24" s="6" t="str">
        <f>=HYPERLINK("https://gitcode.com/caiwenwen/ops-nn/blob/master/norm/ada_layer_norm_grad/docs/aclnnAdaLayerNormBackward.md#L140-L140","https://gitcode.com/caiwenwen/ops-nn/blob/master/norm/ada_layer_norm_grad/docs/aclnnAdaLayerNormBackward.md#L140-L140")</f>
        <v>https://gitcode.com/caiwenwen/ops-nn/blob/master/norm/ada_layer_norm_grad/docs/aclnnAdaLayerNormBackward.md#L140-L140</v>
      </c>
      <c r="E24" s="5" t="str">
        <v>140</v>
      </c>
      <c r="F24" s="5" t="str">
        <v>Html 标签匹配失败：&lt;li&gt;</v>
      </c>
      <c r="G24" s="5" t="str">
        <v>&lt;li&gt;</v>
      </c>
    </row>
    <row r="25">
      <c r="A25" s="5">
        <v>24</v>
      </c>
      <c r="B25" s="5" t="str">
        <v>tag-closed-check</v>
      </c>
      <c r="C25" s="5" t="str">
        <v>aclnnAdaLayerNormBackward.md</v>
      </c>
      <c r="D25" s="6" t="str">
        <f>=HYPERLINK("https://gitcode.com/caiwenwen/ops-nn/blob/master/norm/ada_layer_norm_grad/docs/aclnnAdaLayerNormBackward.md#L140-L140","https://gitcode.com/caiwenwen/ops-nn/blob/master/norm/ada_layer_norm_grad/docs/aclnnAdaLayerNormBackward.md#L140-L140")</f>
        <v>https://gitcode.com/caiwenwen/ops-nn/blob/master/norm/ada_layer_norm_grad/docs/aclnnAdaLayerNormBackward.md#L140-L140</v>
      </c>
      <c r="E25" s="5" t="str">
        <v>140</v>
      </c>
      <c r="F25" s="5" t="str">
        <v>Html 标签匹配失败：&lt;li&gt;</v>
      </c>
      <c r="G25" s="5" t="str">
        <v>&lt;li&gt;</v>
      </c>
    </row>
    <row r="26">
      <c r="A26" s="5">
        <v>25</v>
      </c>
      <c r="B26" s="5" t="str">
        <v>tag-closed-check</v>
      </c>
      <c r="C26" s="5" t="str">
        <v>aclnnAdaLayerNormBackward.md</v>
      </c>
      <c r="D26" s="6" t="str">
        <f>=HYPERLINK("https://gitcode.com/caiwenwen/ops-nn/blob/master/norm/ada_layer_norm_grad/docs/aclnnAdaLayerNormBackward.md#L150-L150","https://gitcode.com/caiwenwen/ops-nn/blob/master/norm/ada_layer_norm_grad/docs/aclnnAdaLayerNormBackward.md#L150-L150")</f>
        <v>https://gitcode.com/caiwenwen/ops-nn/blob/master/norm/ada_layer_norm_grad/docs/aclnnAdaLayerNormBackward.md#L150-L150</v>
      </c>
      <c r="E26" s="5" t="str">
        <v>150</v>
      </c>
      <c r="F26" s="5" t="str">
        <v>Html 标签匹配失败：&lt;li&gt;</v>
      </c>
      <c r="G26" s="5" t="str">
        <v>&lt;li&gt;</v>
      </c>
    </row>
    <row r="27">
      <c r="A27" s="5">
        <v>26</v>
      </c>
      <c r="B27" s="5" t="str">
        <v>tag-closed-check</v>
      </c>
      <c r="C27" s="5" t="str">
        <v>aclnnAdaLayerNormBackward.md</v>
      </c>
      <c r="D27" s="6" t="str">
        <f>=HYPERLINK("https://gitcode.com/caiwenwen/ops-nn/blob/master/norm/ada_layer_norm_grad/docs/aclnnAdaLayerNormBackward.md#L170-L170","https://gitcode.com/caiwenwen/ops-nn/blob/master/norm/ada_layer_norm_grad/docs/aclnnAdaLayerNormBackward.md#L170-L170")</f>
        <v>https://gitcode.com/caiwenwen/ops-nn/blob/master/norm/ada_layer_norm_grad/docs/aclnnAdaLayerNormBackward.md#L170-L170</v>
      </c>
      <c r="E27" s="5" t="str">
        <v>170</v>
      </c>
      <c r="F27" s="5" t="str">
        <v>Html 标签匹配失败：&lt;li&gt;</v>
      </c>
      <c r="G27" s="5" t="str">
        <v>&lt;li&gt;</v>
      </c>
    </row>
    <row r="28">
      <c r="A28" s="5">
        <v>27</v>
      </c>
      <c r="B28" s="5" t="str">
        <v>tag-closed-check</v>
      </c>
      <c r="C28" s="5" t="str">
        <v>aclnnAdaLayerNormBackward.md</v>
      </c>
      <c r="D28" s="6" t="str">
        <f>=HYPERLINK("https://gitcode.com/caiwenwen/ops-nn/blob/master/norm/ada_layer_norm_grad/docs/aclnnAdaLayerNormBackward.md#L170-L170","https://gitcode.com/caiwenwen/ops-nn/blob/master/norm/ada_layer_norm_grad/docs/aclnnAdaLayerNormBackward.md#L170-L170")</f>
        <v>https://gitcode.com/caiwenwen/ops-nn/blob/master/norm/ada_layer_norm_grad/docs/aclnnAdaLayerNormBackward.md#L170-L170</v>
      </c>
      <c r="E28" s="5" t="str">
        <v>170</v>
      </c>
      <c r="F28" s="5" t="str">
        <v>Html 标签匹配失败：&lt;li&gt;</v>
      </c>
      <c r="G28" s="5" t="str">
        <v>&lt;li&gt;</v>
      </c>
    </row>
    <row r="29">
      <c r="A29" s="5">
        <v>28</v>
      </c>
      <c r="B29" s="5" t="str">
        <v>tag-closed-check</v>
      </c>
      <c r="C29" s="5" t="str">
        <v>aclnnSoftMarginLossBackward.md</v>
      </c>
      <c r="D29" s="6" t="str">
        <f>=HYPERLINK("https://gitcode.com/caiwenwen/ops-nn/blob/master/loss/soft_margin_loss_grad/docs/aclnnSoftMarginLossBackward.md#L147-L147","https://gitcode.com/caiwenwen/ops-nn/blob/master/loss/soft_margin_loss_grad/docs/aclnnSoftMarginLossBackward.md#L147-L147")</f>
        <v>https://gitcode.com/caiwenwen/ops-nn/blob/master/loss/soft_margin_loss_grad/docs/aclnnSoftMarginLossBackward.md#L147-L147</v>
      </c>
      <c r="E29" s="5" t="str">
        <v>147</v>
      </c>
      <c r="F29" s="5" t="str">
        <v>Html 标签匹配失败：&lt;/style&gt;</v>
      </c>
      <c r="G29" s="5" t="str">
        <v>&lt;/style&gt;</v>
      </c>
    </row>
    <row r="30">
      <c r="A30" s="5">
        <v>29</v>
      </c>
      <c r="B30" s="5" t="str">
        <v>tag-closed-check</v>
      </c>
      <c r="C30" s="5" t="str">
        <v>aclnnSoftMarginLossBackward.md</v>
      </c>
      <c r="D30" s="6" t="str">
        <f>=HYPERLINK("https://gitcode.com/caiwenwen/ops-nn/blob/master/loss/soft_margin_loss_grad/docs/aclnnSoftMarginLossBackward.md#L47-L47","https://gitcode.com/caiwenwen/ops-nn/blob/master/loss/soft_margin_loss_grad/docs/aclnnSoftMarginLossBackward.md#L47-L47")</f>
        <v>https://gitcode.com/caiwenwen/ops-nn/blob/master/loss/soft_margin_loss_grad/docs/aclnnSoftMarginLossBackward.md#L47-L47</v>
      </c>
      <c r="E30" s="5" t="str">
        <v>47</v>
      </c>
      <c r="F30" s="5" t="str">
        <v>Html 标签匹配失败：&lt;/style&gt;</v>
      </c>
      <c r="G30" s="5" t="str">
        <v>&lt;/style&gt;</v>
      </c>
    </row>
    <row r="31">
      <c r="A31" s="5">
        <v>30</v>
      </c>
      <c r="B31" s="5" t="str">
        <v>tag-closed-check</v>
      </c>
      <c r="C31" s="5" t="str">
        <v>aclnnSoftMarginLoss.md</v>
      </c>
      <c r="D31" s="6" t="str">
        <f>=HYPERLINK("https://gitcode.com/caiwenwen/ops-nn/blob/master/loss/soft_margin_loss/docs/aclnnSoftMarginLoss.md#L153-L153","https://gitcode.com/caiwenwen/ops-nn/blob/master/loss/soft_margin_loss/docs/aclnnSoftMarginLoss.md#L153-L153")</f>
        <v>https://gitcode.com/caiwenwen/ops-nn/blob/master/loss/soft_margin_loss/docs/aclnnSoftMarginLoss.md#L153-L153</v>
      </c>
      <c r="E31" s="5" t="str">
        <v>153</v>
      </c>
      <c r="F31" s="5" t="str">
        <v>Html 标签匹配失败：&lt;/style&gt;</v>
      </c>
      <c r="G31" s="5" t="str">
        <v>&lt;/style&gt;</v>
      </c>
    </row>
    <row r="32">
      <c r="A32" s="5">
        <v>31</v>
      </c>
      <c r="B32" s="5" t="str">
        <v>tag-closed-check</v>
      </c>
      <c r="C32" s="5" t="str">
        <v>aclnnSoftMarginLoss.md</v>
      </c>
      <c r="D32" s="6" t="str">
        <f>=HYPERLINK("https://gitcode.com/caiwenwen/ops-nn/blob/master/loss/soft_margin_loss/docs/aclnnSoftMarginLoss.md#L63-L63","https://gitcode.com/caiwenwen/ops-nn/blob/master/loss/soft_margin_loss/docs/aclnnSoftMarginLoss.md#L63-L63")</f>
        <v>https://gitcode.com/caiwenwen/ops-nn/blob/master/loss/soft_margin_loss/docs/aclnnSoftMarginLoss.md#L63-L63</v>
      </c>
      <c r="E32" s="5" t="str">
        <v>63</v>
      </c>
      <c r="F32" s="5" t="str">
        <v>Html 标签匹配失败：&lt;/style&gt;</v>
      </c>
      <c r="G32" s="5" t="str">
        <v>&lt;/style&gt;</v>
      </c>
    </row>
    <row r="33">
      <c r="A33" s="5">
        <v>32</v>
      </c>
      <c r="B33" s="5" t="str">
        <v>tag-closed-check</v>
      </c>
      <c r="C33" s="5" t="str">
        <v>aclnnSmoothL1LossBackward.md</v>
      </c>
      <c r="D33" s="6" t="str">
        <f>=HYPERLINK("https://gitcode.com/caiwenwen/ops-nn/blob/master/loss/smooth_l1_loss_grad_v2/docs/aclnnSmoothL1LossBackward.md#L179-L179","https://gitcode.com/caiwenwen/ops-nn/blob/master/loss/smooth_l1_loss_grad_v2/docs/aclnnSmoothL1LossBackward.md#L179-L179")</f>
        <v>https://gitcode.com/caiwenwen/ops-nn/blob/master/loss/smooth_l1_loss_grad_v2/docs/aclnnSmoothL1LossBackward.md#L179-L179</v>
      </c>
      <c r="E33" s="5" t="str">
        <v>179</v>
      </c>
      <c r="F33" s="5" t="str">
        <v>Html 标签匹配失败：&lt;/style&gt;</v>
      </c>
      <c r="G33" s="5" t="str">
        <v>&lt;/style&gt;</v>
      </c>
    </row>
    <row r="34">
      <c r="A34" s="5">
        <v>33</v>
      </c>
      <c r="B34" s="5" t="str">
        <v>tag-closed-check</v>
      </c>
      <c r="C34" s="5" t="str">
        <v>aclnnSmoothL1LossBackward.md</v>
      </c>
      <c r="D34" s="6" t="str">
        <f>=HYPERLINK("https://gitcode.com/caiwenwen/ops-nn/blob/master/loss/smooth_l1_loss_grad_v2/docs/aclnnSmoothL1LossBackward.md#L68-L68","https://gitcode.com/caiwenwen/ops-nn/blob/master/loss/smooth_l1_loss_grad_v2/docs/aclnnSmoothL1LossBackward.md#L68-L68")</f>
        <v>https://gitcode.com/caiwenwen/ops-nn/blob/master/loss/smooth_l1_loss_grad_v2/docs/aclnnSmoothL1LossBackward.md#L68-L68</v>
      </c>
      <c r="E34" s="5" t="str">
        <v>68</v>
      </c>
      <c r="F34" s="5" t="str">
        <v>Html 标签匹配失败：&lt;/style&gt;</v>
      </c>
      <c r="G34" s="5" t="str">
        <v>&lt;/style&gt;</v>
      </c>
    </row>
    <row r="35">
      <c r="A35" s="5">
        <v>34</v>
      </c>
      <c r="B35" s="5" t="str">
        <v>tag-closed-check</v>
      </c>
      <c r="C35" s="5" t="str">
        <v>aclnnSmoothL1Loss.md</v>
      </c>
      <c r="D35" s="6" t="str">
        <f>=HYPERLINK("https://gitcode.com/caiwenwen/ops-nn/blob/master/loss/smooth_l1_loss_v2/docs/aclnnSmoothL1Loss.md#L172-L172","https://gitcode.com/caiwenwen/ops-nn/blob/master/loss/smooth_l1_loss_v2/docs/aclnnSmoothL1Loss.md#L172-L172")</f>
        <v>https://gitcode.com/caiwenwen/ops-nn/blob/master/loss/smooth_l1_loss_v2/docs/aclnnSmoothL1Loss.md#L172-L172</v>
      </c>
      <c r="E35" s="5" t="str">
        <v>172</v>
      </c>
      <c r="F35" s="5" t="str">
        <v>Html 标签匹配失败：&lt;/style&gt;</v>
      </c>
      <c r="G35" s="5" t="str">
        <v>&lt;/style&gt;</v>
      </c>
    </row>
    <row r="36">
      <c r="A36" s="5">
        <v>35</v>
      </c>
      <c r="B36" s="5" t="str">
        <v>tag-closed-check</v>
      </c>
      <c r="C36" s="5" t="str">
        <v>aclnnSmoothL1Loss.md</v>
      </c>
      <c r="D36" s="6" t="str">
        <f>=HYPERLINK("https://gitcode.com/caiwenwen/ops-nn/blob/master/loss/smooth_l1_loss_v2/docs/aclnnSmoothL1Loss.md#L72-L72","https://gitcode.com/caiwenwen/ops-nn/blob/master/loss/smooth_l1_loss_v2/docs/aclnnSmoothL1Loss.md#L72-L72")</f>
        <v>https://gitcode.com/caiwenwen/ops-nn/blob/master/loss/smooth_l1_loss_v2/docs/aclnnSmoothL1Loss.md#L72-L72</v>
      </c>
      <c r="E36" s="5" t="str">
        <v>72</v>
      </c>
      <c r="F36" s="5" t="str">
        <v>Html 标签匹配失败：&lt;/style&gt;</v>
      </c>
      <c r="G36" s="5" t="str">
        <v>&lt;/style&gt;</v>
      </c>
    </row>
    <row r="37">
      <c r="A37" s="5">
        <v>36</v>
      </c>
      <c r="B37" s="5" t="str">
        <v>tag-closed-check</v>
      </c>
      <c r="C37" s="5" t="str">
        <v>aclnnMultilabelMarginLoss.md</v>
      </c>
      <c r="D37" s="6" t="str">
        <f>=HYPERLINK("https://gitcode.com/caiwenwen/ops-nn/blob/master/loss/multilabel_margin_loss/docs/aclnnMultilabelMarginLoss.md#L179-L179","https://gitcode.com/caiwenwen/ops-nn/blob/master/loss/multilabel_margin_loss/docs/aclnnMultilabelMarginLoss.md#L179-L179")</f>
        <v>https://gitcode.com/caiwenwen/ops-nn/blob/master/loss/multilabel_margin_loss/docs/aclnnMultilabelMarginLoss.md#L179-L179</v>
      </c>
      <c r="E37" s="5" t="str">
        <v>179</v>
      </c>
      <c r="F37" s="5" t="str">
        <v>Html 标签匹配失败：&lt;/style&gt;</v>
      </c>
      <c r="G37" s="5" t="str">
        <v>&lt;/style&gt;</v>
      </c>
    </row>
    <row r="38">
      <c r="A38" s="5">
        <v>37</v>
      </c>
      <c r="B38" s="5" t="str">
        <v>tag-closed-check</v>
      </c>
      <c r="C38" s="5" t="str">
        <v>aclnnMultilabelMarginLoss.md</v>
      </c>
      <c r="D38" s="6" t="str">
        <f>=HYPERLINK("https://gitcode.com/caiwenwen/ops-nn/blob/master/loss/multilabel_margin_loss/docs/aclnnMultilabelMarginLoss.md#L79-L79","https://gitcode.com/caiwenwen/ops-nn/blob/master/loss/multilabel_margin_loss/docs/aclnnMultilabelMarginLoss.md#L79-L79")</f>
        <v>https://gitcode.com/caiwenwen/ops-nn/blob/master/loss/multilabel_margin_loss/docs/aclnnMultilabelMarginLoss.md#L79-L79</v>
      </c>
      <c r="E38" s="5" t="str">
        <v>79</v>
      </c>
      <c r="F38" s="5" t="str">
        <v>Html 标签匹配失败：&lt;/style&gt;</v>
      </c>
      <c r="G38" s="5" t="str">
        <v>&lt;/style&gt;</v>
      </c>
    </row>
    <row r="39">
      <c r="A39" s="5">
        <v>38</v>
      </c>
      <c r="B39" s="5" t="str">
        <v>tag-closed-check</v>
      </c>
      <c r="C39" s="5" t="str">
        <v>aclnnMseLossBackward.md</v>
      </c>
      <c r="D39" s="6" t="str">
        <f>=HYPERLINK("https://gitcode.com/caiwenwen/ops-nn/blob/master/loss/mse_loss_grad_v2/docs/aclnnMseLossBackward.md#L160-L160","https://gitcode.com/caiwenwen/ops-nn/blob/master/loss/mse_loss_grad_v2/docs/aclnnMseLossBackward.md#L160-L160")</f>
        <v>https://gitcode.com/caiwenwen/ops-nn/blob/master/loss/mse_loss_grad_v2/docs/aclnnMseLossBackward.md#L160-L160</v>
      </c>
      <c r="E39" s="5" t="str">
        <v>160</v>
      </c>
      <c r="F39" s="5" t="str">
        <v>Html 标签匹配失败：&lt;/style&gt;</v>
      </c>
      <c r="G39" s="5" t="str">
        <v>&lt;/style&gt;</v>
      </c>
    </row>
    <row r="40">
      <c r="A40" s="5">
        <v>39</v>
      </c>
      <c r="B40" s="5" t="str">
        <v>tag-closed-check</v>
      </c>
      <c r="C40" s="5" t="str">
        <v>aclnnMseLossBackward.md</v>
      </c>
      <c r="D40" s="6" t="str">
        <f>=HYPERLINK("https://gitcode.com/caiwenwen/ops-nn/blob/master/loss/mse_loss_grad_v2/docs/aclnnMseLossBackward.md#L60-L60","https://gitcode.com/caiwenwen/ops-nn/blob/master/loss/mse_loss_grad_v2/docs/aclnnMseLossBackward.md#L60-L60")</f>
        <v>https://gitcode.com/caiwenwen/ops-nn/blob/master/loss/mse_loss_grad_v2/docs/aclnnMseLossBackward.md#L60-L60</v>
      </c>
      <c r="E40" s="5" t="str">
        <v>60</v>
      </c>
      <c r="F40" s="5" t="str">
        <v>Html 标签匹配失败：&lt;/style&gt;</v>
      </c>
      <c r="G40" s="5" t="str">
        <v>&lt;/style&gt;</v>
      </c>
    </row>
    <row r="41">
      <c r="A41" s="5">
        <v>40</v>
      </c>
      <c r="B41" s="5" t="str">
        <v>tag-closed-check</v>
      </c>
      <c r="C41" s="5" t="str">
        <v>aclnnMseLossOut.md</v>
      </c>
      <c r="D41" s="6" t="str">
        <f>=HYPERLINK("https://gitcode.com/caiwenwen/ops-nn/blob/master/loss/mse_loss/docs/aclnnMseLossOut.md#L156-L156","https://gitcode.com/caiwenwen/ops-nn/blob/master/loss/mse_loss/docs/aclnnMseLossOut.md#L156-L156")</f>
        <v>https://gitcode.com/caiwenwen/ops-nn/blob/master/loss/mse_loss/docs/aclnnMseLossOut.md#L156-L156</v>
      </c>
      <c r="E41" s="5" t="str">
        <v>156</v>
      </c>
      <c r="F41" s="5" t="str">
        <v>Html 标签匹配失败：&lt;/style&gt;</v>
      </c>
      <c r="G41" s="5" t="str">
        <v>&lt;/style&gt;</v>
      </c>
    </row>
    <row r="42">
      <c r="A42" s="5">
        <v>41</v>
      </c>
      <c r="B42" s="5" t="str">
        <v>tag-closed-check</v>
      </c>
      <c r="C42" s="5" t="str">
        <v>aclnnMseLossOut.md</v>
      </c>
      <c r="D42" s="6" t="str">
        <f>=HYPERLINK("https://gitcode.com/caiwenwen/ops-nn/blob/master/loss/mse_loss/docs/aclnnMseLossOut.md#L65-L65","https://gitcode.com/caiwenwen/ops-nn/blob/master/loss/mse_loss/docs/aclnnMseLossOut.md#L65-L65")</f>
        <v>https://gitcode.com/caiwenwen/ops-nn/blob/master/loss/mse_loss/docs/aclnnMseLossOut.md#L65-L65</v>
      </c>
      <c r="E42" s="5" t="str">
        <v>65</v>
      </c>
      <c r="F42" s="5" t="str">
        <v>Html 标签匹配失败：&lt;/style&gt;</v>
      </c>
      <c r="G42" s="5" t="str">
        <v>&lt;/style&gt;</v>
      </c>
    </row>
    <row r="43">
      <c r="A43" s="5">
        <v>42</v>
      </c>
      <c r="B43" s="5" t="str">
        <v>tag-closed-check</v>
      </c>
      <c r="C43" s="5" t="str">
        <v>aclnnMseLoss.md</v>
      </c>
      <c r="D43" s="6" t="str">
        <f>=HYPERLINK("https://gitcode.com/caiwenwen/ops-nn/blob/master/loss/mse_loss/docs/aclnnMseLoss.md#L155-L155","https://gitcode.com/caiwenwen/ops-nn/blob/master/loss/mse_loss/docs/aclnnMseLoss.md#L155-L155")</f>
        <v>https://gitcode.com/caiwenwen/ops-nn/blob/master/loss/mse_loss/docs/aclnnMseLoss.md#L155-L155</v>
      </c>
      <c r="E43" s="5" t="str">
        <v>155</v>
      </c>
      <c r="F43" s="5" t="str">
        <v>Html 标签匹配失败：&lt;/style&gt;</v>
      </c>
      <c r="G43" s="5" t="str">
        <v>&lt;/style&gt;</v>
      </c>
    </row>
    <row r="44">
      <c r="A44" s="5">
        <v>43</v>
      </c>
      <c r="B44" s="5" t="str">
        <v>tag-closed-check</v>
      </c>
      <c r="C44" s="5" t="str">
        <v>aclnnMseLoss.md</v>
      </c>
      <c r="D44" s="6" t="str">
        <f>=HYPERLINK("https://gitcode.com/caiwenwen/ops-nn/blob/master/loss/mse_loss/docs/aclnnMseLoss.md#L64-L64","https://gitcode.com/caiwenwen/ops-nn/blob/master/loss/mse_loss/docs/aclnnMseLoss.md#L64-L64")</f>
        <v>https://gitcode.com/caiwenwen/ops-nn/blob/master/loss/mse_loss/docs/aclnnMseLoss.md#L64-L64</v>
      </c>
      <c r="E44" s="5" t="str">
        <v>64</v>
      </c>
      <c r="F44" s="5" t="str">
        <v>Html 标签匹配失败：&lt;/style&gt;</v>
      </c>
      <c r="G44" s="5" t="str">
        <v>&lt;/style&gt;</v>
      </c>
    </row>
    <row r="45">
      <c r="A45" s="5">
        <v>44</v>
      </c>
      <c r="B45" s="5" t="str">
        <v>tag-closed-check</v>
      </c>
      <c r="C45" s="5" t="str">
        <v>aclnnL1Loss.md</v>
      </c>
      <c r="D45" s="6" t="str">
        <f>=HYPERLINK("https://gitcode.com/caiwenwen/ops-nn/blob/master/loss/lp_loss/docs/aclnnL1Loss.md#L156-L156","https://gitcode.com/caiwenwen/ops-nn/blob/master/loss/lp_loss/docs/aclnnL1Loss.md#L156-L156")</f>
        <v>https://gitcode.com/caiwenwen/ops-nn/blob/master/loss/lp_loss/docs/aclnnL1Loss.md#L156-L156</v>
      </c>
      <c r="E45" s="5" t="str">
        <v>156</v>
      </c>
      <c r="F45" s="5" t="str">
        <v>Html 标签匹配失败：&lt;/style&gt;</v>
      </c>
      <c r="G45" s="5" t="str">
        <v>&lt;/style&gt;</v>
      </c>
    </row>
    <row r="46">
      <c r="A46" s="5">
        <v>45</v>
      </c>
      <c r="B46" s="5" t="str">
        <v>tag-closed-check</v>
      </c>
      <c r="C46" s="5" t="str">
        <v>aclnnL1Loss.md</v>
      </c>
      <c r="D46" s="6" t="str">
        <f>=HYPERLINK("https://gitcode.com/caiwenwen/ops-nn/blob/master/loss/lp_loss/docs/aclnnL1Loss.md#L66-L66","https://gitcode.com/caiwenwen/ops-nn/blob/master/loss/lp_loss/docs/aclnnL1Loss.md#L66-L66")</f>
        <v>https://gitcode.com/caiwenwen/ops-nn/blob/master/loss/lp_loss/docs/aclnnL1Loss.md#L66-L66</v>
      </c>
      <c r="E46" s="5" t="str">
        <v>66</v>
      </c>
      <c r="F46" s="5" t="str">
        <v>Html 标签匹配失败：&lt;/style&gt;</v>
      </c>
      <c r="G46" s="5" t="str">
        <v>&lt;/style&gt;</v>
      </c>
    </row>
    <row r="47">
      <c r="A47" s="5">
        <v>46</v>
      </c>
      <c r="B47" s="5" t="str">
        <v>tag-closed-check</v>
      </c>
      <c r="C47" s="5" t="str">
        <v>aclnnL1LossBackward.md</v>
      </c>
      <c r="D47" s="6" t="str">
        <f>=HYPERLINK("https://gitcode.com/caiwenwen/ops-nn/blob/master/loss/l1_loss_grad/docs/aclnnL1LossBackward.md#L147-L147","https://gitcode.com/caiwenwen/ops-nn/blob/master/loss/l1_loss_grad/docs/aclnnL1LossBackward.md#L147-L147")</f>
        <v>https://gitcode.com/caiwenwen/ops-nn/blob/master/loss/l1_loss_grad/docs/aclnnL1LossBackward.md#L147-L147</v>
      </c>
      <c r="E47" s="5" t="str">
        <v>147</v>
      </c>
      <c r="F47" s="5" t="str">
        <v>Html 标签匹配失败：&lt;/style&gt;</v>
      </c>
      <c r="G47" s="5" t="str">
        <v>&lt;/style&gt;</v>
      </c>
    </row>
    <row r="48">
      <c r="A48" s="5">
        <v>47</v>
      </c>
      <c r="B48" s="5" t="str">
        <v>tag-closed-check</v>
      </c>
      <c r="C48" s="5" t="str">
        <v>aclnnL1LossBackward.md</v>
      </c>
      <c r="D48" s="6" t="str">
        <f>=HYPERLINK("https://gitcode.com/caiwenwen/ops-nn/blob/master/loss/l1_loss_grad/docs/aclnnL1LossBackward.md#L47-L47","https://gitcode.com/caiwenwen/ops-nn/blob/master/loss/l1_loss_grad/docs/aclnnL1LossBackward.md#L47-L47")</f>
        <v>https://gitcode.com/caiwenwen/ops-nn/blob/master/loss/l1_loss_grad/docs/aclnnL1LossBackward.md#L47-L47</v>
      </c>
      <c r="E48" s="5" t="str">
        <v>47</v>
      </c>
      <c r="F48" s="5" t="str">
        <v>Html 标签匹配失败：&lt;/style&gt;</v>
      </c>
      <c r="G48" s="5" t="str">
        <v>&lt;/style&gt;</v>
      </c>
    </row>
    <row r="49">
      <c r="A49" s="5">
        <v>48</v>
      </c>
      <c r="B49" s="5" t="str">
        <v>tag-closed-check</v>
      </c>
      <c r="C49" s="5" t="str">
        <v>aclnnKlDivTargetBackward.md</v>
      </c>
      <c r="D49" s="6" t="str">
        <f>=HYPERLINK("https://gitcode.com/caiwenwen/ops-nn/blob/master/loss/kl_div_loss_grad/docs/aclnnKlDivTargetBackward.md#L59-L59","https://gitcode.com/caiwenwen/ops-nn/blob/master/loss/kl_div_loss_grad/docs/aclnnKlDivTargetBackward.md#L59-L59")</f>
        <v>https://gitcode.com/caiwenwen/ops-nn/blob/master/loss/kl_div_loss_grad/docs/aclnnKlDivTargetBackward.md#L59-L59</v>
      </c>
      <c r="E49" s="5" t="str">
        <v>59</v>
      </c>
      <c r="F49" s="5" t="str">
        <v>Html 标签匹配失败：&lt;/style&gt;</v>
      </c>
      <c r="G49" s="5" t="str">
        <v>&lt;/style&gt;</v>
      </c>
    </row>
    <row r="50">
      <c r="A50" s="5">
        <v>49</v>
      </c>
      <c r="B50" s="5" t="str">
        <v>tag-closed-check</v>
      </c>
      <c r="C50" s="5" t="str">
        <v>aclnnKlDivTargetBackward.md</v>
      </c>
      <c r="D50" s="6" t="str">
        <f>=HYPERLINK("https://gitcode.com/caiwenwen/ops-nn/blob/master/loss/kl_div_loss_grad/docs/aclnnKlDivTargetBackward.md#L170-L170","https://gitcode.com/caiwenwen/ops-nn/blob/master/loss/kl_div_loss_grad/docs/aclnnKlDivTargetBackward.md#L170-L170")</f>
        <v>https://gitcode.com/caiwenwen/ops-nn/blob/master/loss/kl_div_loss_grad/docs/aclnnKlDivTargetBackward.md#L170-L170</v>
      </c>
      <c r="E50" s="5" t="str">
        <v>170</v>
      </c>
      <c r="F50" s="5" t="str">
        <v>Html 标签匹配失败：&lt;/style&gt;</v>
      </c>
      <c r="G50" s="5" t="str">
        <v>&lt;/style&gt;</v>
      </c>
    </row>
    <row r="51">
      <c r="A51" s="5">
        <v>50</v>
      </c>
      <c r="B51" s="5" t="str">
        <v>tag-closed-check</v>
      </c>
      <c r="C51" s="5" t="str">
        <v>aclnnKlDivBackward.md</v>
      </c>
      <c r="D51" s="6" t="str">
        <f>=HYPERLINK("https://gitcode.com/caiwenwen/ops-nn/blob/master/loss/kl_div_loss_grad/docs/aclnnKlDivBackward.md#L49-L49","https://gitcode.com/caiwenwen/ops-nn/blob/master/loss/kl_div_loss_grad/docs/aclnnKlDivBackward.md#L49-L49")</f>
        <v>https://gitcode.com/caiwenwen/ops-nn/blob/master/loss/kl_div_loss_grad/docs/aclnnKlDivBackward.md#L49-L49</v>
      </c>
      <c r="E51" s="5" t="str">
        <v>49</v>
      </c>
      <c r="F51" s="5" t="str">
        <v>Html 标签匹配失败：&lt;/style&gt;</v>
      </c>
      <c r="G51" s="5" t="str">
        <v>&lt;/style&gt;</v>
      </c>
    </row>
    <row r="52">
      <c r="A52" s="5">
        <v>51</v>
      </c>
      <c r="B52" s="5" t="str">
        <v>tag-closed-check</v>
      </c>
      <c r="C52" s="5" t="str">
        <v>aclnnKlDivBackward.md</v>
      </c>
      <c r="D52" s="6" t="str">
        <f>=HYPERLINK("https://gitcode.com/caiwenwen/ops-nn/blob/master/loss/kl_div_loss_grad/docs/aclnnKlDivBackward.md#L160-L160","https://gitcode.com/caiwenwen/ops-nn/blob/master/loss/kl_div_loss_grad/docs/aclnnKlDivBackward.md#L160-L160")</f>
        <v>https://gitcode.com/caiwenwen/ops-nn/blob/master/loss/kl_div_loss_grad/docs/aclnnKlDivBackward.md#L160-L160</v>
      </c>
      <c r="E52" s="5" t="str">
        <v>160</v>
      </c>
      <c r="F52" s="5" t="str">
        <v>Html 标签匹配失败：&lt;/style&gt;</v>
      </c>
      <c r="G52" s="5" t="str">
        <v>&lt;/style&gt;</v>
      </c>
    </row>
    <row r="53">
      <c r="A53" s="5">
        <v>52</v>
      </c>
      <c r="B53" s="5" t="str">
        <v>tag-closed-check</v>
      </c>
      <c r="C53" s="5" t="str">
        <v>aclnnFusedCrossEntropyLossWithMaxSum.md</v>
      </c>
      <c r="D53" s="6" t="str">
        <f>=HYPERLINK("https://gitcode.com/caiwenwen/ops-nn/blob/master/loss/fused_cross_entropy_loss_with_max_sum/docs/aclnnFusedCrossEntropyLossWithMaxSum.md#L61-L61","https://gitcode.com/caiwenwen/ops-nn/blob/master/loss/fused_cross_entropy_loss_with_max_sum/docs/aclnnFusedCrossEntropyLossWithMaxSum.md#L61-L61")</f>
        <v>https://gitcode.com/caiwenwen/ops-nn/blob/master/loss/fused_cross_entropy_loss_with_max_sum/docs/aclnnFusedCrossEntropyLossWithMaxSum.md#L61-L61</v>
      </c>
      <c r="E53" s="5" t="str">
        <v>61</v>
      </c>
      <c r="F53" s="5" t="str">
        <v>Html 标签匹配失败：&lt;/style&gt;</v>
      </c>
      <c r="G53" s="5" t="str">
        <v>&lt;/style&gt;</v>
      </c>
    </row>
    <row r="54">
      <c r="A54" s="5">
        <v>53</v>
      </c>
      <c r="B54" s="5" t="str">
        <v>tag-closed-check</v>
      </c>
      <c r="C54" s="5" t="str">
        <v>aclnnFusedCrossEntropyLossWithMaxSum.md</v>
      </c>
      <c r="D54" s="6" t="str">
        <f>=HYPERLINK("https://gitcode.com/caiwenwen/ops-nn/blob/master/loss/fused_cross_entropy_loss_with_max_sum/docs/aclnnFusedCrossEntropyLossWithMaxSum.md#L202-L202","https://gitcode.com/caiwenwen/ops-nn/blob/master/loss/fused_cross_entropy_loss_with_max_sum/docs/aclnnFusedCrossEntropyLossWithMaxSum.md#L202-L202")</f>
        <v>https://gitcode.com/caiwenwen/ops-nn/blob/master/loss/fused_cross_entropy_loss_with_max_sum/docs/aclnnFusedCrossEntropyLossWithMaxSum.md#L202-L202</v>
      </c>
      <c r="E54" s="5" t="str">
        <v>202</v>
      </c>
      <c r="F54" s="5" t="str">
        <v>Html 标签匹配失败：&lt;/style&gt;</v>
      </c>
      <c r="G54" s="5" t="str">
        <v>&lt;/style&gt;</v>
      </c>
    </row>
    <row r="55">
      <c r="A55" s="5">
        <v>54</v>
      </c>
      <c r="B55" s="5" t="str">
        <v>tag-closed-check</v>
      </c>
      <c r="C55" s="5" t="str">
        <v>aclnnCrossEntropyLossGrad.md</v>
      </c>
      <c r="D55" s="6" t="str">
        <f>=HYPERLINK("https://gitcode.com/caiwenwen/ops-nn/blob/master/loss/cross_entropy_loss_grad/docs/aclnnCrossEntropyLossGrad.md#L171-L171","https://gitcode.com/caiwenwen/ops-nn/blob/master/loss/cross_entropy_loss_grad/docs/aclnnCrossEntropyLossGrad.md#L171-L171")</f>
        <v>https://gitcode.com/caiwenwen/ops-nn/blob/master/loss/cross_entropy_loss_grad/docs/aclnnCrossEntropyLossGrad.md#L171-L171</v>
      </c>
      <c r="E55" s="5" t="str">
        <v>171</v>
      </c>
      <c r="F55" s="5" t="str">
        <v>Html 标签匹配失败：&lt;li&gt;</v>
      </c>
      <c r="G55" s="5" t="str">
        <v>&lt;li&gt;</v>
      </c>
    </row>
    <row r="56">
      <c r="A56" s="5">
        <v>55</v>
      </c>
      <c r="B56" s="5" t="str">
        <v>tag-closed-check</v>
      </c>
      <c r="C56" s="5" t="str">
        <v>aclnnCrossEntropyLossGrad.md</v>
      </c>
      <c r="D56" s="6" t="str">
        <f>=HYPERLINK("https://gitcode.com/caiwenwen/ops-nn/blob/master/loss/cross_entropy_loss_grad/docs/aclnnCrossEntropyLossGrad.md#L171-L171","https://gitcode.com/caiwenwen/ops-nn/blob/master/loss/cross_entropy_loss_grad/docs/aclnnCrossEntropyLossGrad.md#L171-L171")</f>
        <v>https://gitcode.com/caiwenwen/ops-nn/blob/master/loss/cross_entropy_loss_grad/docs/aclnnCrossEntropyLossGrad.md#L171-L171</v>
      </c>
      <c r="E56" s="5" t="str">
        <v>171</v>
      </c>
      <c r="F56" s="5" t="str">
        <v>Html 标签匹配失败：&lt;ul&gt;</v>
      </c>
      <c r="G56" s="5" t="str">
        <v>&lt;ul&gt;</v>
      </c>
    </row>
    <row r="57">
      <c r="A57" s="5">
        <v>56</v>
      </c>
      <c r="B57" s="5" t="str">
        <v>tag-closed-check</v>
      </c>
      <c r="C57" s="5" t="str">
        <v>aclnnCrossEntropyLossGrad.md</v>
      </c>
      <c r="D57" s="6" t="str">
        <f>=HYPERLINK("https://gitcode.com/caiwenwen/ops-nn/blob/master/loss/cross_entropy_loss_grad/docs/aclnnCrossEntropyLossGrad.md#L221-L221","https://gitcode.com/caiwenwen/ops-nn/blob/master/loss/cross_entropy_loss_grad/docs/aclnnCrossEntropyLossGrad.md#L221-L221")</f>
        <v>https://gitcode.com/caiwenwen/ops-nn/blob/master/loss/cross_entropy_loss_grad/docs/aclnnCrossEntropyLossGrad.md#L221-L221</v>
      </c>
      <c r="E57" s="5" t="str">
        <v>221</v>
      </c>
      <c r="F57" s="5" t="str">
        <v>Html 标签匹配失败：&lt;li&gt;</v>
      </c>
      <c r="G57" s="5" t="str">
        <v>&lt;li&gt;</v>
      </c>
    </row>
    <row r="58">
      <c r="A58" s="5">
        <v>57</v>
      </c>
      <c r="B58" s="5" t="str">
        <v>tag-closed-check</v>
      </c>
      <c r="C58" s="5" t="str">
        <v>aclnnCrossEntropyLossGrad.md</v>
      </c>
      <c r="D58" s="6" t="str">
        <f>=HYPERLINK("https://gitcode.com/caiwenwen/ops-nn/blob/master/loss/cross_entropy_loss_grad/docs/aclnnCrossEntropyLossGrad.md#L221-L221","https://gitcode.com/caiwenwen/ops-nn/blob/master/loss/cross_entropy_loss_grad/docs/aclnnCrossEntropyLossGrad.md#L221-L221")</f>
        <v>https://gitcode.com/caiwenwen/ops-nn/blob/master/loss/cross_entropy_loss_grad/docs/aclnnCrossEntropyLossGrad.md#L221-L221</v>
      </c>
      <c r="E58" s="5" t="str">
        <v>221</v>
      </c>
      <c r="F58" s="5" t="str">
        <v>Html 标签匹配失败：&lt;ul&gt;</v>
      </c>
      <c r="G58" s="5" t="str">
        <v>&lt;ul&gt;</v>
      </c>
    </row>
    <row r="59">
      <c r="A59" s="5">
        <v>58</v>
      </c>
      <c r="B59" s="5" t="str">
        <v>tag-closed-check</v>
      </c>
      <c r="C59" s="5" t="str">
        <v>aclnnCrossEntropyLossGrad.md</v>
      </c>
      <c r="D59" s="6" t="str">
        <f>=HYPERLINK("https://gitcode.com/caiwenwen/ops-nn/blob/master/loss/cross_entropy_loss_grad/docs/aclnnCrossEntropyLossGrad.md#L322-L322","https://gitcode.com/caiwenwen/ops-nn/blob/master/loss/cross_entropy_loss_grad/docs/aclnnCrossEntropyLossGrad.md#L322-L322")</f>
        <v>https://gitcode.com/caiwenwen/ops-nn/blob/master/loss/cross_entropy_loss_grad/docs/aclnnCrossEntropyLossGrad.md#L322-L322</v>
      </c>
      <c r="E59" s="5" t="str">
        <v>322</v>
      </c>
      <c r="F59" s="5" t="str">
        <v>Html 标签匹配失败：&lt;tr&gt;</v>
      </c>
      <c r="G59" s="5" t="str">
        <v>&lt;tr&gt;</v>
      </c>
    </row>
    <row r="60">
      <c r="A60" s="5">
        <v>59</v>
      </c>
      <c r="B60" s="5" t="str">
        <v>tag-closed-check</v>
      </c>
      <c r="C60" s="5" t="str">
        <v>aclnnChamferDistanceBackward.md</v>
      </c>
      <c r="D60" s="6" t="str">
        <f>=HYPERLINK("https://gitcode.com/caiwenwen/ops-nn/blob/master/loss/chamfer_distance_grad/docs/aclnnChamferDistanceBackward.md#L88-L88","https://gitcode.com/caiwenwen/ops-nn/blob/master/loss/chamfer_distance_grad/docs/aclnnChamferDistanceBackward.md#L88-L88")</f>
        <v>https://gitcode.com/caiwenwen/ops-nn/blob/master/loss/chamfer_distance_grad/docs/aclnnChamferDistanceBackward.md#L88-L88</v>
      </c>
      <c r="E60" s="5" t="str">
        <v>88</v>
      </c>
      <c r="F60" s="5" t="str">
        <v>Html 标签匹配失败：&lt;/style&gt;</v>
      </c>
      <c r="G60" s="5" t="str">
        <v>&lt;/style&gt;</v>
      </c>
    </row>
    <row r="61">
      <c r="A61" s="5">
        <v>60</v>
      </c>
      <c r="B61" s="5" t="str">
        <v>tag-closed-check</v>
      </c>
      <c r="C61" s="5" t="str">
        <v>aclnnChamferDistanceBackward.md</v>
      </c>
      <c r="D61" s="6" t="str">
        <f>=HYPERLINK("https://gitcode.com/caiwenwen/ops-nn/blob/master/loss/chamfer_distance_grad/docs/aclnnChamferDistanceBackward.md#L219-L219","https://gitcode.com/caiwenwen/ops-nn/blob/master/loss/chamfer_distance_grad/docs/aclnnChamferDistanceBackward.md#L219-L219")</f>
        <v>https://gitcode.com/caiwenwen/ops-nn/blob/master/loss/chamfer_distance_grad/docs/aclnnChamferDistanceBackward.md#L219-L219</v>
      </c>
      <c r="E61" s="5" t="str">
        <v>219</v>
      </c>
      <c r="F61" s="5" t="str">
        <v>Html 标签匹配失败：&lt;/style&gt;</v>
      </c>
      <c r="G61" s="5" t="str">
        <v>&lt;/style&gt;</v>
      </c>
    </row>
    <row r="62">
      <c r="A62" s="5">
        <v>61</v>
      </c>
      <c r="B62" s="5" t="str">
        <v>tag-closed-check</v>
      </c>
      <c r="C62" s="5" t="str">
        <v>aclnnTransposeQuantBatchMatMul.md</v>
      </c>
      <c r="D62" s="6" t="str">
        <f>=HYPERLINK("https://gitcode.com/caiwenwen/ops-nn/blob/master/matmul/transpose_quant_batch_mat_mul/docs/aclnnTransposeQuantBatchMatMul.md#L77-L77","https://gitcode.com/caiwenwen/ops-nn/blob/master/matmul/transpose_quant_batch_mat_mul/docs/aclnnTransposeQuantBatchMatMul.md#L77-L77")</f>
        <v>https://gitcode.com/caiwenwen/ops-nn/blob/master/matmul/transpose_quant_batch_mat_mul/docs/aclnnTransposeQuantBatchMatMul.md#L77-L77</v>
      </c>
      <c r="E62" s="5" t="str">
        <v>77</v>
      </c>
      <c r="F62" s="5" t="str">
        <v>Html 标签匹配失败：&lt;tr&gt;</v>
      </c>
      <c r="G62" s="5" t="str">
        <v>&lt;tr&gt;</v>
      </c>
    </row>
    <row r="63">
      <c r="A63" s="5">
        <v>62</v>
      </c>
      <c r="B63" s="5" t="str">
        <v>tag-closed-check</v>
      </c>
      <c r="C63" s="5" t="str">
        <v>aclnnTransposeQuantBatchMatMul.md</v>
      </c>
      <c r="D63" s="6" t="str">
        <f>=HYPERLINK("https://gitcode.com/caiwenwen/ops-nn/blob/master/matmul/transpose_quant_batch_mat_mul/docs/aclnnTransposeQuantBatchMatMul.md#L68-L68","https://gitcode.com/caiwenwen/ops-nn/blob/master/matmul/transpose_quant_batch_mat_mul/docs/aclnnTransposeQuantBatchMatMul.md#L68-L68")</f>
        <v>https://gitcode.com/caiwenwen/ops-nn/blob/master/matmul/transpose_quant_batch_mat_mul/docs/aclnnTransposeQuantBatchMatMul.md#L68-L68</v>
      </c>
      <c r="E63" s="5" t="str">
        <v>68</v>
      </c>
      <c r="F63" s="5" t="str">
        <v>Html 标签匹配失败：&lt;tr&gt;</v>
      </c>
      <c r="G63" s="5" t="str">
        <v>&lt;tr&gt;</v>
      </c>
    </row>
    <row r="64">
      <c r="A64" s="5">
        <v>63</v>
      </c>
      <c r="B64" s="5" t="str">
        <v>tag-closed-check</v>
      </c>
      <c r="C64" s="5" t="str">
        <v>aclnnTransposeQuantBatchMatMul.md</v>
      </c>
      <c r="D64" s="6" t="str">
        <f>=HYPERLINK("https://gitcode.com/caiwenwen/ops-nn/blob/master/matmul/transpose_quant_batch_mat_mul/docs/aclnnTransposeQuantBatchMatMul.md#L292-L292","https://gitcode.com/caiwenwen/ops-nn/blob/master/matmul/transpose_quant_batch_mat_mul/docs/aclnnTransposeQuantBatchMatMul.md#L292-L292")</f>
        <v>https://gitcode.com/caiwenwen/ops-nn/blob/master/matmul/transpose_quant_batch_mat_mul/docs/aclnnTransposeQuantBatchMatMul.md#L292-L292</v>
      </c>
      <c r="E64" s="5" t="str">
        <v>292</v>
      </c>
      <c r="F64" s="5" t="str">
        <v>Html 标签匹配失败：&lt;table style="undefined;table-layout: fixed; width: 1030px"&gt;</v>
      </c>
      <c r="G64" s="5" t="str">
        <v>&lt;table style="undefined;table-layout: fixed; width: 1030px"&gt;</v>
      </c>
    </row>
    <row r="65">
      <c r="A65" s="5">
        <v>64</v>
      </c>
      <c r="B65" s="5" t="str">
        <v>tag-closed-check</v>
      </c>
      <c r="C65" s="5" t="str">
        <v>aclnnTransposeBatchMatMulWeightNZ.md</v>
      </c>
      <c r="D65" s="6" t="str">
        <f>=HYPERLINK("https://gitcode.com/caiwenwen/ops-nn/blob/master/matmul/transpose_batch_mat_mul/docs/aclnnTransposeBatchMatMulWeightNZ.md#L75-L75","https://gitcode.com/caiwenwen/ops-nn/blob/master/matmul/transpose_batch_mat_mul/docs/aclnnTransposeBatchMatMulWeightNZ.md#L75-L75")</f>
        <v>https://gitcode.com/caiwenwen/ops-nn/blob/master/matmul/transpose_batch_mat_mul/docs/aclnnTransposeBatchMatMulWeightNZ.md#L75-L75</v>
      </c>
      <c r="E65" s="5" t="str">
        <v>75</v>
      </c>
      <c r="F65" s="5" t="str">
        <v>Html 标签匹配失败：&lt;tr&gt;</v>
      </c>
      <c r="G65" s="5" t="str">
        <v>&lt;tr&gt;</v>
      </c>
    </row>
    <row r="66">
      <c r="A66" s="5">
        <v>65</v>
      </c>
      <c r="B66" s="5" t="str">
        <v>tag-closed-check</v>
      </c>
      <c r="C66" s="5" t="str">
        <v>aclnnTransposeBatchMatMulWeightNZ.md</v>
      </c>
      <c r="D66" s="6" t="str">
        <f>=HYPERLINK("https://gitcode.com/caiwenwen/ops-nn/blob/master/matmul/transpose_batch_mat_mul/docs/aclnnTransposeBatchMatMulWeightNZ.md#L66-L66","https://gitcode.com/caiwenwen/ops-nn/blob/master/matmul/transpose_batch_mat_mul/docs/aclnnTransposeBatchMatMulWeightNZ.md#L66-L66")</f>
        <v>https://gitcode.com/caiwenwen/ops-nn/blob/master/matmul/transpose_batch_mat_mul/docs/aclnnTransposeBatchMatMulWeightNZ.md#L66-L66</v>
      </c>
      <c r="E66" s="5" t="str">
        <v>66</v>
      </c>
      <c r="F66" s="5" t="str">
        <v>Html 标签匹配失败：&lt;tr&gt;</v>
      </c>
      <c r="G66" s="5" t="str">
        <v>&lt;tr&gt;</v>
      </c>
    </row>
    <row r="67">
      <c r="A67" s="5">
        <v>66</v>
      </c>
      <c r="B67" s="5" t="str">
        <v>tag-closed-check</v>
      </c>
      <c r="C67" s="5" t="str">
        <v>aclnnTransposeBatchMatMul.md</v>
      </c>
      <c r="D67" s="6" t="str">
        <f>=HYPERLINK("https://gitcode.com/caiwenwen/ops-nn/blob/master/matmul/transpose_batch_mat_mul/docs/aclnnTransposeBatchMatMul.md#L76-L76","https://gitcode.com/caiwenwen/ops-nn/blob/master/matmul/transpose_batch_mat_mul/docs/aclnnTransposeBatchMatMul.md#L76-L76")</f>
        <v>https://gitcode.com/caiwenwen/ops-nn/blob/master/matmul/transpose_batch_mat_mul/docs/aclnnTransposeBatchMatMul.md#L76-L76</v>
      </c>
      <c r="E67" s="5" t="str">
        <v>76</v>
      </c>
      <c r="F67" s="5" t="str">
        <v>Html 标签匹配失败：&lt;tr&gt;</v>
      </c>
      <c r="G67" s="5" t="str">
        <v>&lt;tr&gt;</v>
      </c>
    </row>
    <row r="68">
      <c r="A68" s="5">
        <v>67</v>
      </c>
      <c r="B68" s="5" t="str">
        <v>tag-closed-check</v>
      </c>
      <c r="C68" s="5" t="str">
        <v>aclnnTransposeBatchMatMul.md</v>
      </c>
      <c r="D68" s="6" t="str">
        <f>=HYPERLINK("https://gitcode.com/caiwenwen/ops-nn/blob/master/matmul/transpose_batch_mat_mul/docs/aclnnTransposeBatchMatMul.md#L67-L67","https://gitcode.com/caiwenwen/ops-nn/blob/master/matmul/transpose_batch_mat_mul/docs/aclnnTransposeBatchMatMul.md#L67-L67")</f>
        <v>https://gitcode.com/caiwenwen/ops-nn/blob/master/matmul/transpose_batch_mat_mul/docs/aclnnTransposeBatchMatMul.md#L67-L67</v>
      </c>
      <c r="E68" s="5" t="str">
        <v>67</v>
      </c>
      <c r="F68" s="5" t="str">
        <v>Html 标签匹配失败：&lt;tr&gt;</v>
      </c>
      <c r="G68" s="5" t="str">
        <v>&lt;tr&gt;</v>
      </c>
    </row>
    <row r="69">
      <c r="A69" s="5">
        <v>68</v>
      </c>
      <c r="B69" s="5" t="str">
        <v>tag-closed-check</v>
      </c>
      <c r="C69" s="5" t="str">
        <v>aclnnQuantMatmulReduceSumWeightNz.md</v>
      </c>
      <c r="D69" s="6" t="str">
        <f>=HYPERLINK("https://gitcode.com/caiwenwen/ops-nn/blob/master/matmul/quant_matmul_reduce_sum/docs/aclnnQuantMatmulReduceSumWeightNz.md#L101-L101","https://gitcode.com/caiwenwen/ops-nn/blob/master/matmul/quant_matmul_reduce_sum/docs/aclnnQuantMatmulReduceSumWeightNz.md#L101-L101")</f>
        <v>https://gitcode.com/caiwenwen/ops-nn/blob/master/matmul/quant_matmul_reduce_sum/docs/aclnnQuantMatmulReduceSumWeightNz.md#L101-L101</v>
      </c>
      <c r="E69" s="5" t="str">
        <v>101</v>
      </c>
      <c r="F69" s="5" t="str">
        <v>Html 标签匹配失败：&lt;ul&gt;</v>
      </c>
      <c r="G69" s="5" t="str">
        <v>&lt;ul&gt;</v>
      </c>
    </row>
    <row r="70">
      <c r="A70" s="5">
        <v>69</v>
      </c>
      <c r="B70" s="5" t="str">
        <v>tag-closed-check</v>
      </c>
      <c r="C70" s="5" t="str">
        <v>aclnnQuantMatmulReduceSumWeightNz.md</v>
      </c>
      <c r="D70" s="6" t="str">
        <f>=HYPERLINK("https://gitcode.com/caiwenwen/ops-nn/blob/master/matmul/quant_matmul_reduce_sum/docs/aclnnQuantMatmulReduceSumWeightNz.md#L115-L115","https://gitcode.com/caiwenwen/ops-nn/blob/master/matmul/quant_matmul_reduce_sum/docs/aclnnQuantMatmulReduceSumWeightNz.md#L115-L115")</f>
        <v>https://gitcode.com/caiwenwen/ops-nn/blob/master/matmul/quant_matmul_reduce_sum/docs/aclnnQuantMatmulReduceSumWeightNz.md#L115-L115</v>
      </c>
      <c r="E70" s="5" t="str">
        <v>115</v>
      </c>
      <c r="F70" s="5" t="str">
        <v>Html 标签匹配失败：&lt;ul&gt;</v>
      </c>
      <c r="G70" s="5" t="str">
        <v>&lt;ul&gt;</v>
      </c>
    </row>
    <row r="71">
      <c r="A71" s="5">
        <v>70</v>
      </c>
      <c r="B71" s="5" t="str">
        <v>tag-closed-check</v>
      </c>
      <c r="C71" s="5" t="str">
        <v>aclnnQuantMatmulReduceSumWeightNz.md</v>
      </c>
      <c r="D71" s="6" t="str">
        <f>=HYPERLINK("https://gitcode.com/caiwenwen/ops-nn/blob/master/matmul/quant_matmul_reduce_sum/docs/aclnnQuantMatmulReduceSumWeightNz.md#L128-L128","https://gitcode.com/caiwenwen/ops-nn/blob/master/matmul/quant_matmul_reduce_sum/docs/aclnnQuantMatmulReduceSumWeightNz.md#L128-L128")</f>
        <v>https://gitcode.com/caiwenwen/ops-nn/blob/master/matmul/quant_matmul_reduce_sum/docs/aclnnQuantMatmulReduceSumWeightNz.md#L128-L128</v>
      </c>
      <c r="E71" s="5" t="str">
        <v>128</v>
      </c>
      <c r="F71" s="5" t="str">
        <v>Html 标签匹配失败：&lt;ul&gt;</v>
      </c>
      <c r="G71" s="5" t="str">
        <v>&lt;ul&gt;</v>
      </c>
    </row>
    <row r="72">
      <c r="A72" s="5">
        <v>71</v>
      </c>
      <c r="B72" s="5" t="str">
        <v>tag-closed-check</v>
      </c>
      <c r="C72" s="5" t="str">
        <v>aclnnTransSparse4to2Para.md</v>
      </c>
      <c r="D72" s="6" t="str">
        <f>=HYPERLINK("https://gitcode.com/caiwenwen/ops-nn/blob/master/matmul/sparse4to2quant_matmul/docs/aclnnTransSparse4to2Para.md#L137-L137","https://gitcode.com/caiwenwen/ops-nn/blob/master/matmul/sparse4to2quant_matmul/docs/aclnnTransSparse4to2Para.md#L137-L137")</f>
        <v>https://gitcode.com/caiwenwen/ops-nn/blob/master/matmul/sparse4to2quant_matmul/docs/aclnnTransSparse4to2Para.md#L137-L137</v>
      </c>
      <c r="E72" s="5" t="str">
        <v>137</v>
      </c>
      <c r="F72" s="5" t="str">
        <v>Html 标签匹配失败：&lt;/tr&gt;</v>
      </c>
      <c r="G72" s="5" t="str">
        <v>&lt;/tr&gt;</v>
      </c>
    </row>
    <row r="73">
      <c r="A73" s="5">
        <v>72</v>
      </c>
      <c r="B73" s="5" t="str">
        <v>tag-closed-check</v>
      </c>
      <c r="C73" s="5" t="str">
        <v>aclnnQuantMatmulDequant.md</v>
      </c>
      <c r="D73" s="6" t="str">
        <f>=HYPERLINK("https://gitcode.com/caiwenwen/ops-nn/blob/master/matmul/quant_matmul_dequant/docs/aclnnQuantMatmulDequant.md#L139-L139","https://gitcode.com/caiwenwen/ops-nn/blob/master/matmul/quant_matmul_dequant/docs/aclnnQuantMatmulDequant.md#L139-L139")</f>
        <v>https://gitcode.com/caiwenwen/ops-nn/blob/master/matmul/quant_matmul_dequant/docs/aclnnQuantMatmulDequant.md#L139-L139</v>
      </c>
      <c r="E73" s="5" t="str">
        <v>139</v>
      </c>
      <c r="F73" s="5" t="str">
        <v>Html 标签匹配失败：&lt;/tr&gt;</v>
      </c>
      <c r="G73" s="5" t="str">
        <v>&lt;/tr&gt;</v>
      </c>
    </row>
    <row r="74">
      <c r="A74" s="5">
        <v>73</v>
      </c>
      <c r="B74" s="5" t="str">
        <v>tag-closed-check</v>
      </c>
      <c r="C74" s="5" t="str">
        <v>aclnnQuantMatmulV3.md</v>
      </c>
      <c r="D74" s="6" t="str">
        <f>=HYPERLINK("https://gitcode.com/caiwenwen/ops-nn/blob/master/matmul/quant_batch_matmul_v3/docs/aclnnQuantMatmulV3.md#L110-L110","https://gitcode.com/caiwenwen/ops-nn/blob/master/matmul/quant_batch_matmul_v3/docs/aclnnQuantMatmulV3.md#L110-L110")</f>
        <v>https://gitcode.com/caiwenwen/ops-nn/blob/master/matmul/quant_batch_matmul_v3/docs/aclnnQuantMatmulV3.md#L110-L110</v>
      </c>
      <c r="E74" s="5" t="str">
        <v>110</v>
      </c>
      <c r="F74" s="5" t="str">
        <v>Html 标签匹配失败：&lt;li&gt;</v>
      </c>
      <c r="G74" s="5" t="str">
        <v>&lt;li&gt;</v>
      </c>
    </row>
    <row r="75">
      <c r="A75" s="5">
        <v>74</v>
      </c>
      <c r="B75" s="5" t="str">
        <v>tag-closed-check</v>
      </c>
      <c r="C75" s="5" t="str">
        <v>aclnnQuantBatchMatmulInplaceAdd.md</v>
      </c>
      <c r="D75" s="6" t="str">
        <f>=HYPERLINK("https://gitcode.com/caiwenwen/ops-nn/blob/master/matmul/quant_batch_matmul_inplace_add/docs/aclnnQuantBatchMatmulInplaceAdd.md#L198-L198","https://gitcode.com/caiwenwen/ops-nn/blob/master/matmul/quant_batch_matmul_inplace_add/docs/aclnnQuantBatchMatmulInplaceAdd.md#L198-L198")</f>
        <v>https://gitcode.com/caiwenwen/ops-nn/blob/master/matmul/quant_batch_matmul_inplace_add/docs/aclnnQuantBatchMatmulInplaceAdd.md#L198-L198</v>
      </c>
      <c r="E75" s="5" t="str">
        <v>198</v>
      </c>
      <c r="F75" s="5" t="str">
        <v>Html 标签匹配失败：&lt;tbody&gt;</v>
      </c>
      <c r="G75" s="5" t="str">
        <v>&lt;tbody&gt;</v>
      </c>
    </row>
    <row r="76">
      <c r="A76" s="5">
        <v>75</v>
      </c>
      <c r="B76" s="5" t="str">
        <v>tag-closed-check</v>
      </c>
      <c r="C76" s="5" t="str">
        <v>aclnnQuantBatchMatmulInplaceAdd.md</v>
      </c>
      <c r="D76" s="6" t="str">
        <f>=HYPERLINK("https://gitcode.com/caiwenwen/ops-nn/blob/master/matmul/quant_batch_matmul_inplace_add/docs/aclnnQuantBatchMatmulInplaceAdd.md#L81-L81","https://gitcode.com/caiwenwen/ops-nn/blob/master/matmul/quant_batch_matmul_inplace_add/docs/aclnnQuantBatchMatmulInplaceAdd.md#L81-L81")</f>
        <v>https://gitcode.com/caiwenwen/ops-nn/blob/master/matmul/quant_batch_matmul_inplace_add/docs/aclnnQuantBatchMatmulInplaceAdd.md#L81-L81</v>
      </c>
      <c r="E76" s="5" t="str">
        <v>81</v>
      </c>
      <c r="F76" s="5" t="str">
        <v>Html 标签匹配失败：&lt;tbody&gt;</v>
      </c>
      <c r="G76" s="5" t="str">
        <v>&lt;tbody&gt;</v>
      </c>
    </row>
    <row r="77">
      <c r="A77" s="5">
        <v>76</v>
      </c>
      <c r="B77" s="5" t="str">
        <v>tag-closed-check</v>
      </c>
      <c r="C77" s="5" t="str">
        <v>aclnnMm.md</v>
      </c>
      <c r="D77" s="6" t="str">
        <f>=HYPERLINK("https://gitcode.com/caiwenwen/ops-nn/blob/master/matmul/mat_mul_v3/docs/aclnnMm.md#L194-L194","https://gitcode.com/caiwenwen/ops-nn/blob/master/matmul/mat_mul_v3/docs/aclnnMm.md#L194-L194")</f>
        <v>https://gitcode.com/caiwenwen/ops-nn/blob/master/matmul/mat_mul_v3/docs/aclnnMm.md#L194-L194</v>
      </c>
      <c r="E77" s="5" t="str">
        <v>194</v>
      </c>
      <c r="F77" s="5" t="str">
        <v>Html 标签匹配失败：&lt;table style="undefined;table-layout: fixed; width: 1030px"&gt;</v>
      </c>
      <c r="G77" s="5" t="str">
        <v>&lt;table style="undefined;table-layout: fixed; width: 1030px"&gt;</v>
      </c>
    </row>
    <row r="78">
      <c r="A78" s="5">
        <v>77</v>
      </c>
      <c r="B78" s="5" t="str">
        <v>tag-closed-check</v>
      </c>
      <c r="C78" s="5" t="str">
        <v>aclnnMatmulWeightNz.md</v>
      </c>
      <c r="D78" s="6" t="str">
        <f>=HYPERLINK("https://gitcode.com/caiwenwen/ops-nn/blob/master/matmul/mat_mul_v3/docs/aclnnMatmulWeightNz.md#L72-L72","https://gitcode.com/caiwenwen/ops-nn/blob/master/matmul/mat_mul_v3/docs/aclnnMatmulWeightNz.md#L72-L72")</f>
        <v>https://gitcode.com/caiwenwen/ops-nn/blob/master/matmul/mat_mul_v3/docs/aclnnMatmulWeightNz.md#L72-L72</v>
      </c>
      <c r="E78" s="5" t="str">
        <v>72</v>
      </c>
      <c r="F78" s="5" t="str">
        <v>Html 标签匹配失败：&lt;/br&gt;</v>
      </c>
      <c r="G78" s="5" t="str">
        <v>&lt;/br&gt;</v>
      </c>
    </row>
    <row r="79">
      <c r="A79" s="5">
        <v>78</v>
      </c>
      <c r="B79" s="5" t="str">
        <v>tag-closed-check</v>
      </c>
      <c r="C79" s="5" t="str">
        <v>aclnnMatmulWeightNz.md</v>
      </c>
      <c r="D79" s="6" t="str">
        <f>=HYPERLINK("https://gitcode.com/caiwenwen/ops-nn/blob/master/matmul/mat_mul_v3/docs/aclnnMatmulWeightNz.md#L73-L73","https://gitcode.com/caiwenwen/ops-nn/blob/master/matmul/mat_mul_v3/docs/aclnnMatmulWeightNz.md#L73-L73")</f>
        <v>https://gitcode.com/caiwenwen/ops-nn/blob/master/matmul/mat_mul_v3/docs/aclnnMatmulWeightNz.md#L73-L73</v>
      </c>
      <c r="E79" s="5" t="str">
        <v>73</v>
      </c>
      <c r="F79" s="5" t="str">
        <v>Html 标签匹配失败：&lt;/br&gt;</v>
      </c>
      <c r="G79" s="5" t="str">
        <v>&lt;/br&gt;</v>
      </c>
    </row>
    <row r="80">
      <c r="A80" s="5">
        <v>79</v>
      </c>
      <c r="B80" s="5" t="str">
        <v>tag-closed-check</v>
      </c>
      <c r="C80" s="5" t="str">
        <v>aclnnMatmulWeightNz.md</v>
      </c>
      <c r="D80" s="6" t="str">
        <f>=HYPERLINK("https://gitcode.com/caiwenwen/ops-nn/blob/master/matmul/mat_mul_v3/docs/aclnnMatmulWeightNz.md#L74-L74","https://gitcode.com/caiwenwen/ops-nn/blob/master/matmul/mat_mul_v3/docs/aclnnMatmulWeightNz.md#L74-L74")</f>
        <v>https://gitcode.com/caiwenwen/ops-nn/blob/master/matmul/mat_mul_v3/docs/aclnnMatmulWeightNz.md#L74-L74</v>
      </c>
      <c r="E80" s="5" t="str">
        <v>74</v>
      </c>
      <c r="F80" s="5" t="str">
        <v>Html 标签匹配失败：&lt;/br&gt;</v>
      </c>
      <c r="G80" s="5" t="str">
        <v>&lt;/br&gt;</v>
      </c>
    </row>
    <row r="81">
      <c r="A81" s="5">
        <v>80</v>
      </c>
      <c r="B81" s="5" t="str">
        <v>tag-closed-check</v>
      </c>
      <c r="C81" s="5" t="str">
        <v>aclnnMatmulWeightNz.md</v>
      </c>
      <c r="D81" s="6" t="str">
        <f>=HYPERLINK("https://gitcode.com/caiwenwen/ops-nn/blob/master/matmul/mat_mul_v3/docs/aclnnMatmulWeightNz.md#L84-L84","https://gitcode.com/caiwenwen/ops-nn/blob/master/matmul/mat_mul_v3/docs/aclnnMatmulWeightNz.md#L84-L84")</f>
        <v>https://gitcode.com/caiwenwen/ops-nn/blob/master/matmul/mat_mul_v3/docs/aclnnMatmulWeightNz.md#L84-L84</v>
      </c>
      <c r="E81" s="5" t="str">
        <v>84</v>
      </c>
      <c r="F81" s="5" t="str">
        <v>Html 标签匹配失败：&lt;/br&gt;</v>
      </c>
      <c r="G81" s="5" t="str">
        <v>&lt;/br&gt;</v>
      </c>
    </row>
    <row r="82">
      <c r="A82" s="5">
        <v>81</v>
      </c>
      <c r="B82" s="5" t="str">
        <v>tag-closed-check</v>
      </c>
      <c r="C82" s="5" t="str">
        <v>aclnnMatmulWeightNz.md</v>
      </c>
      <c r="D82" s="6" t="str">
        <f>=HYPERLINK("https://gitcode.com/caiwenwen/ops-nn/blob/master/matmul/mat_mul_v3/docs/aclnnMatmulWeightNz.md#L85-L85","https://gitcode.com/caiwenwen/ops-nn/blob/master/matmul/mat_mul_v3/docs/aclnnMatmulWeightNz.md#L85-L85")</f>
        <v>https://gitcode.com/caiwenwen/ops-nn/blob/master/matmul/mat_mul_v3/docs/aclnnMatmulWeightNz.md#L85-L85</v>
      </c>
      <c r="E82" s="5" t="str">
        <v>85</v>
      </c>
      <c r="F82" s="5" t="str">
        <v>Html 标签匹配失败：&lt;/br&gt;</v>
      </c>
      <c r="G82" s="5" t="str">
        <v>&lt;/br&gt;</v>
      </c>
    </row>
    <row r="83">
      <c r="A83" s="5">
        <v>82</v>
      </c>
      <c r="B83" s="5" t="str">
        <v>tag-closed-check</v>
      </c>
      <c r="C83" s="5" t="str">
        <v>aclnnMatmulWeightNz.md</v>
      </c>
      <c r="D83" s="6" t="str">
        <f>=HYPERLINK("https://gitcode.com/caiwenwen/ops-nn/blob/master/matmul/mat_mul_v3/docs/aclnnMatmulWeightNz.md#L86-L86","https://gitcode.com/caiwenwen/ops-nn/blob/master/matmul/mat_mul_v3/docs/aclnnMatmulWeightNz.md#L86-L86")</f>
        <v>https://gitcode.com/caiwenwen/ops-nn/blob/master/matmul/mat_mul_v3/docs/aclnnMatmulWeightNz.md#L86-L86</v>
      </c>
      <c r="E83" s="5" t="str">
        <v>86</v>
      </c>
      <c r="F83" s="5" t="str">
        <v>Html 标签匹配失败：&lt;/br&gt;</v>
      </c>
      <c r="G83" s="5" t="str">
        <v>&lt;/br&gt;</v>
      </c>
    </row>
    <row r="84">
      <c r="A84" s="5">
        <v>83</v>
      </c>
      <c r="B84" s="5" t="str">
        <v>tag-closed-check</v>
      </c>
      <c r="C84" s="5" t="str">
        <v>aclnnMatmulWeightNz.md</v>
      </c>
      <c r="D84" s="6" t="str">
        <f>=HYPERLINK("https://gitcode.com/caiwenwen/ops-nn/blob/master/matmul/mat_mul_v3/docs/aclnnMatmulWeightNz.md#L87-L87","https://gitcode.com/caiwenwen/ops-nn/blob/master/matmul/mat_mul_v3/docs/aclnnMatmulWeightNz.md#L87-L87")</f>
        <v>https://gitcode.com/caiwenwen/ops-nn/blob/master/matmul/mat_mul_v3/docs/aclnnMatmulWeightNz.md#L87-L87</v>
      </c>
      <c r="E84" s="5" t="str">
        <v>87</v>
      </c>
      <c r="F84" s="5" t="str">
        <v>Html 标签匹配失败：&lt;/br&gt;</v>
      </c>
      <c r="G84" s="5" t="str">
        <v>&lt;/br&gt;</v>
      </c>
    </row>
    <row r="85">
      <c r="A85" s="5">
        <v>84</v>
      </c>
      <c r="B85" s="5" t="str">
        <v>tag-closed-check</v>
      </c>
      <c r="C85" s="5" t="str">
        <v>aclnnMatmulWeightNz.md</v>
      </c>
      <c r="D85" s="6" t="str">
        <f>=HYPERLINK("https://gitcode.com/caiwenwen/ops-nn/blob/master/matmul/mat_mul_v3/docs/aclnnMatmulWeightNz.md#L98-L98","https://gitcode.com/caiwenwen/ops-nn/blob/master/matmul/mat_mul_v3/docs/aclnnMatmulWeightNz.md#L98-L98")</f>
        <v>https://gitcode.com/caiwenwen/ops-nn/blob/master/matmul/mat_mul_v3/docs/aclnnMatmulWeightNz.md#L98-L98</v>
      </c>
      <c r="E85" s="5" t="str">
        <v>98</v>
      </c>
      <c r="F85" s="5" t="str">
        <v>Html 标签匹配失败：&lt;/br&gt;</v>
      </c>
      <c r="G85" s="5" t="str">
        <v>&lt;/br&gt;</v>
      </c>
    </row>
    <row r="86">
      <c r="A86" s="5">
        <v>85</v>
      </c>
      <c r="B86" s="5" t="str">
        <v>tag-closed-check</v>
      </c>
      <c r="C86" s="5" t="str">
        <v>aclnnMatmulWeightNz.md</v>
      </c>
      <c r="D86" s="6" t="str">
        <f>=HYPERLINK("https://gitcode.com/caiwenwen/ops-nn/blob/master/matmul/mat_mul_v3/docs/aclnnMatmulWeightNz.md#L182-L182","https://gitcode.com/caiwenwen/ops-nn/blob/master/matmul/mat_mul_v3/docs/aclnnMatmulWeightNz.md#L182-L182")</f>
        <v>https://gitcode.com/caiwenwen/ops-nn/blob/master/matmul/mat_mul_v3/docs/aclnnMatmulWeightNz.md#L182-L182</v>
      </c>
      <c r="E86" s="5" t="str">
        <v>182</v>
      </c>
      <c r="F86" s="5" t="str">
        <v>Html 标签匹配失败：&lt;tr&gt;</v>
      </c>
      <c r="G86" s="5" t="str">
        <v>&lt;tr&gt;</v>
      </c>
    </row>
    <row r="87">
      <c r="A87" s="5">
        <v>86</v>
      </c>
      <c r="B87" s="5" t="str">
        <v>tag-closed-check</v>
      </c>
      <c r="C87" s="5" t="str">
        <v>aclnnMatmulWeightNz.md</v>
      </c>
      <c r="D87" s="6" t="str">
        <f>=HYPERLINK("https://gitcode.com/caiwenwen/ops-nn/blob/master/matmul/mat_mul_v3/docs/aclnnMatmulWeightNz.md#L180-L180","https://gitcode.com/caiwenwen/ops-nn/blob/master/matmul/mat_mul_v3/docs/aclnnMatmulWeightNz.md#L180-L180")</f>
        <v>https://gitcode.com/caiwenwen/ops-nn/blob/master/matmul/mat_mul_v3/docs/aclnnMatmulWeightNz.md#L180-L180</v>
      </c>
      <c r="E87" s="5" t="str">
        <v>180</v>
      </c>
      <c r="F87" s="5" t="str">
        <v>Html 标签匹配失败：&lt;tr&gt;</v>
      </c>
      <c r="G87" s="5" t="str">
        <v>&lt;tr&gt;</v>
      </c>
    </row>
    <row r="88">
      <c r="A88" s="5">
        <v>87</v>
      </c>
      <c r="B88" s="5" t="str">
        <v>tag-closed-check</v>
      </c>
      <c r="C88" s="5" t="str">
        <v>aclnnMatmulWeightNz.md</v>
      </c>
      <c r="D88" s="6" t="str">
        <f>=HYPERLINK("https://gitcode.com/caiwenwen/ops-nn/blob/master/matmul/mat_mul_v3/docs/aclnnMatmulWeightNz.md#L178-L178","https://gitcode.com/caiwenwen/ops-nn/blob/master/matmul/mat_mul_v3/docs/aclnnMatmulWeightNz.md#L178-L178")</f>
        <v>https://gitcode.com/caiwenwen/ops-nn/blob/master/matmul/mat_mul_v3/docs/aclnnMatmulWeightNz.md#L178-L178</v>
      </c>
      <c r="E88" s="5" t="str">
        <v>178</v>
      </c>
      <c r="F88" s="5" t="str">
        <v>Html 标签匹配失败：&lt;tr&gt;</v>
      </c>
      <c r="G88" s="5" t="str">
        <v>&lt;tr&gt;</v>
      </c>
    </row>
    <row r="89">
      <c r="A89" s="5">
        <v>88</v>
      </c>
      <c r="B89" s="5" t="str">
        <v>tag-closed-check</v>
      </c>
      <c r="C89" s="5" t="str">
        <v>aclnnMatmulWeightNz.md</v>
      </c>
      <c r="D89" s="6" t="str">
        <f>=HYPERLINK("https://gitcode.com/caiwenwen/ops-nn/blob/master/matmul/mat_mul_v3/docs/aclnnMatmulWeightNz.md#L192-L192","https://gitcode.com/caiwenwen/ops-nn/blob/master/matmul/mat_mul_v3/docs/aclnnMatmulWeightNz.md#L192-L192")</f>
        <v>https://gitcode.com/caiwenwen/ops-nn/blob/master/matmul/mat_mul_v3/docs/aclnnMatmulWeightNz.md#L192-L192</v>
      </c>
      <c r="E89" s="5" t="str">
        <v>192</v>
      </c>
      <c r="F89" s="5" t="str">
        <v>Html 标签匹配失败：&lt;table style="undefined;table-layout: fixed; width: 1030px"&gt;</v>
      </c>
      <c r="G89" s="5" t="str">
        <v>&lt;table style="undefined;table-layout: fixed; width: 1030px"&gt;</v>
      </c>
    </row>
    <row r="90">
      <c r="A90" s="5">
        <v>89</v>
      </c>
      <c r="B90" s="5" t="str">
        <v>tag-closed-check</v>
      </c>
      <c r="C90" s="5" t="str">
        <v>aclnnMatmul.md</v>
      </c>
      <c r="D90" s="6" t="str">
        <f>=HYPERLINK("https://gitcode.com/caiwenwen/ops-nn/blob/master/matmul/mat_mul_v3/docs/aclnnMatmul.md#L196-L196","https://gitcode.com/caiwenwen/ops-nn/blob/master/matmul/mat_mul_v3/docs/aclnnMatmul.md#L196-L196")</f>
        <v>https://gitcode.com/caiwenwen/ops-nn/blob/master/matmul/mat_mul_v3/docs/aclnnMatmul.md#L196-L196</v>
      </c>
      <c r="E90" s="5" t="str">
        <v>196</v>
      </c>
      <c r="F90" s="5" t="str">
        <v>Html 标签匹配失败：&lt;table style="undefined;table-layout: fixed; width: 1030px"&gt;</v>
      </c>
      <c r="G90" s="5" t="str">
        <v>&lt;table style="undefined;table-layout: fixed; width: 1030px"&gt;</v>
      </c>
    </row>
    <row r="91">
      <c r="A91" s="5">
        <v>90</v>
      </c>
      <c r="B91" s="5" t="str">
        <v>tag-closed-check</v>
      </c>
      <c r="C91" s="5" t="str">
        <v>aclnnAddmmWeightNz.md</v>
      </c>
      <c r="D91" s="6" t="str">
        <f>=HYPERLINK("https://gitcode.com/caiwenwen/ops-nn/blob/master/matmul/mat_mul_v3/docs/aclnnAddmmWeightNz.md#L105-L105","https://gitcode.com/caiwenwen/ops-nn/blob/master/matmul/mat_mul_v3/docs/aclnnAddmmWeightNz.md#L105-L105")</f>
        <v>https://gitcode.com/caiwenwen/ops-nn/blob/master/matmul/mat_mul_v3/docs/aclnnAddmmWeightNz.md#L105-L105</v>
      </c>
      <c r="E91" s="5" t="str">
        <v>105</v>
      </c>
      <c r="F91" s="5" t="str">
        <v>Html 标签匹配失败：&lt;/li&gt;</v>
      </c>
      <c r="G91" s="5" t="str">
        <v>&lt;/li&gt;</v>
      </c>
    </row>
    <row r="92">
      <c r="A92" s="5">
        <v>91</v>
      </c>
      <c r="B92" s="5" t="str">
        <v>tag-closed-check</v>
      </c>
      <c r="C92" s="5" t="str">
        <v>aclnnAddmmWeightNz.md</v>
      </c>
      <c r="D92" s="6" t="str">
        <f>=HYPERLINK("https://gitcode.com/caiwenwen/ops-nn/blob/master/matmul/mat_mul_v3/docs/aclnnAddmmWeightNz.md#L106-L106","https://gitcode.com/caiwenwen/ops-nn/blob/master/matmul/mat_mul_v3/docs/aclnnAddmmWeightNz.md#L106-L106")</f>
        <v>https://gitcode.com/caiwenwen/ops-nn/blob/master/matmul/mat_mul_v3/docs/aclnnAddmmWeightNz.md#L106-L106</v>
      </c>
      <c r="E92" s="5" t="str">
        <v>106</v>
      </c>
      <c r="F92" s="5" t="str">
        <v>Html 标签匹配失败：&lt;/li&gt;</v>
      </c>
      <c r="G92" s="5" t="str">
        <v>&lt;/li&gt;</v>
      </c>
    </row>
    <row r="93">
      <c r="A93" s="5">
        <v>92</v>
      </c>
      <c r="B93" s="5" t="str">
        <v>tag-closed-check</v>
      </c>
      <c r="C93" s="5" t="str">
        <v>aclnnAddmmWeightNz.md</v>
      </c>
      <c r="D93" s="6" t="str">
        <f>=HYPERLINK("https://gitcode.com/caiwenwen/ops-nn/blob/master/matmul/mat_mul_v3/docs/aclnnAddmmWeightNz.md#L104-L104","https://gitcode.com/caiwenwen/ops-nn/blob/master/matmul/mat_mul_v3/docs/aclnnAddmmWeightNz.md#L104-L104")</f>
        <v>https://gitcode.com/caiwenwen/ops-nn/blob/master/matmul/mat_mul_v3/docs/aclnnAddmmWeightNz.md#L104-L104</v>
      </c>
      <c r="E93" s="5" t="str">
        <v>104</v>
      </c>
      <c r="F93" s="5" t="str">
        <v>Html 标签匹配失败：&lt;ul&gt;</v>
      </c>
      <c r="G93" s="5" t="str">
        <v>&lt;ul&gt;</v>
      </c>
    </row>
    <row r="94">
      <c r="A94" s="5">
        <v>93</v>
      </c>
      <c r="B94" s="5" t="str">
        <v>tag-closed-check</v>
      </c>
      <c r="C94" s="5" t="str">
        <v>aclnnAddmm&amp;aclnnInplaceAddmm.md</v>
      </c>
      <c r="D94" s="6" t="str">
        <f>=HYPERLINK("https://gitcode.com/caiwenwen/ops-nn/blob/master/matmul/mat_mul_v3/docs/aclnnAddmm&amp;aclnnInplaceAddmm.md#L164-L164","https://gitcode.com/caiwenwen/ops-nn/blob/master/matmul/mat_mul_v3/docs/aclnnAddmm&amp;aclnnInplaceAddmm.md#L164-L164")</f>
        <v>https://gitcode.com/caiwenwen/ops-nn/blob/master/matmul/mat_mul_v3/docs/aclnnAddmm&amp;aclnnInplaceAddmm.md#L164-L164</v>
      </c>
      <c r="E94" s="5" t="str">
        <v>164</v>
      </c>
      <c r="F94" s="5" t="str">
        <v>Html 标签匹配失败：&lt;/tr&gt;</v>
      </c>
      <c r="G94" s="5" t="str">
        <v>&lt;/tr&gt;</v>
      </c>
    </row>
    <row r="95">
      <c r="A95" s="5">
        <v>94</v>
      </c>
      <c r="B95" s="5" t="str">
        <v>tag-closed-check</v>
      </c>
      <c r="C95" s="5" t="str">
        <v>aclnnAddmm&amp;aclnnInplaceAddmm.md</v>
      </c>
      <c r="D95" s="6" t="str">
        <f>=HYPERLINK("https://gitcode.com/caiwenwen/ops-nn/blob/master/matmul/mat_mul_v3/docs/aclnnAddmm&amp;aclnnInplaceAddmm.md#L368-L368","https://gitcode.com/caiwenwen/ops-nn/blob/master/matmul/mat_mul_v3/docs/aclnnAddmm&amp;aclnnInplaceAddmm.md#L368-L368")</f>
        <v>https://gitcode.com/caiwenwen/ops-nn/blob/master/matmul/mat_mul_v3/docs/aclnnAddmm&amp;aclnnInplaceAddmm.md#L368-L368</v>
      </c>
      <c r="E95" s="5" t="str">
        <v>368</v>
      </c>
      <c r="F95" s="5" t="str">
        <v>Html 标签匹配失败：&lt;tr&gt;</v>
      </c>
      <c r="G95" s="5" t="str">
        <v>&lt;tr&gt;</v>
      </c>
    </row>
    <row r="96">
      <c r="A96" s="5">
        <v>95</v>
      </c>
      <c r="B96" s="5" t="str">
        <v>tag-closed-check</v>
      </c>
      <c r="C96" s="5" t="str">
        <v>aclnnAddmm&amp;aclnnInplaceAddmm.md</v>
      </c>
      <c r="D96" s="6" t="str">
        <f>=HYPERLINK("https://gitcode.com/caiwenwen/ops-nn/blob/master/matmul/mat_mul_v3/docs/aclnnAddmm&amp;aclnnInplaceAddmm.md#L357-L357","https://gitcode.com/caiwenwen/ops-nn/blob/master/matmul/mat_mul_v3/docs/aclnnAddmm&amp;aclnnInplaceAddmm.md#L357-L357")</f>
        <v>https://gitcode.com/caiwenwen/ops-nn/blob/master/matmul/mat_mul_v3/docs/aclnnAddmm&amp;aclnnInplaceAddmm.md#L357-L357</v>
      </c>
      <c r="E96" s="5" t="str">
        <v>357</v>
      </c>
      <c r="F96" s="5" t="str">
        <v>Html 标签匹配失败：&lt;tr&gt;</v>
      </c>
      <c r="G96" s="5" t="str">
        <v>&lt;tr&gt;</v>
      </c>
    </row>
    <row r="97">
      <c r="A97" s="5">
        <v>96</v>
      </c>
      <c r="B97" s="5" t="str">
        <v>tag-closed-check</v>
      </c>
      <c r="C97" s="5" t="str">
        <v>aclnnFusedMatmul.md</v>
      </c>
      <c r="D97" s="6" t="str">
        <f>=HYPERLINK("https://gitcode.com/caiwenwen/ops-nn/blob/master/matmul/fused_mat_mul/docs/aclnnFusedMatmul.md#L108-L108","https://gitcode.com/caiwenwen/ops-nn/blob/master/matmul/fused_mat_mul/docs/aclnnFusedMatmul.md#L108-L108")</f>
        <v>https://gitcode.com/caiwenwen/ops-nn/blob/master/matmul/fused_mat_mul/docs/aclnnFusedMatmul.md#L108-L108</v>
      </c>
      <c r="E97" s="5" t="str">
        <v>108</v>
      </c>
      <c r="F97" s="5" t="str">
        <v>Html 标签匹配失败：&lt;ul&gt;</v>
      </c>
      <c r="G97" s="5" t="str">
        <v>&lt;ul&gt;</v>
      </c>
    </row>
    <row r="98">
      <c r="A98" s="5">
        <v>97</v>
      </c>
      <c r="B98" s="5" t="str">
        <v>tag-closed-check</v>
      </c>
      <c r="C98" s="5" t="str">
        <v>aclnnFusedMatmul.md</v>
      </c>
      <c r="D98" s="6" t="str">
        <f>=HYPERLINK("https://gitcode.com/caiwenwen/ops-nn/blob/master/matmul/fused_mat_mul/docs/aclnnFusedMatmul.md#L118-L118","https://gitcode.com/caiwenwen/ops-nn/blob/master/matmul/fused_mat_mul/docs/aclnnFusedMatmul.md#L118-L118")</f>
        <v>https://gitcode.com/caiwenwen/ops-nn/blob/master/matmul/fused_mat_mul/docs/aclnnFusedMatmul.md#L118-L118</v>
      </c>
      <c r="E98" s="5" t="str">
        <v>118</v>
      </c>
      <c r="F98" s="5" t="str">
        <v>Html 标签匹配失败：&lt;ul&gt;</v>
      </c>
      <c r="G98" s="5" t="str">
        <v>&lt;ul&gt;</v>
      </c>
    </row>
    <row r="99">
      <c r="A99" s="5">
        <v>98</v>
      </c>
      <c r="B99" s="5" t="str">
        <v>tag-closed-check</v>
      </c>
      <c r="C99" s="5" t="str">
        <v>aclnnFusedMatmul.md</v>
      </c>
      <c r="D99" s="6" t="str">
        <f>=HYPERLINK("https://gitcode.com/caiwenwen/ops-nn/blob/master/matmul/fused_mat_mul/docs/aclnnFusedMatmul.md#L128-L128","https://gitcode.com/caiwenwen/ops-nn/blob/master/matmul/fused_mat_mul/docs/aclnnFusedMatmul.md#L128-L128")</f>
        <v>https://gitcode.com/caiwenwen/ops-nn/blob/master/matmul/fused_mat_mul/docs/aclnnFusedMatmul.md#L128-L128</v>
      </c>
      <c r="E99" s="5" t="str">
        <v>128</v>
      </c>
      <c r="F99" s="5" t="str">
        <v>Html 标签匹配失败：&lt;ul&gt;</v>
      </c>
      <c r="G99" s="5" t="str">
        <v>&lt;ul&gt;</v>
      </c>
    </row>
    <row r="100">
      <c r="A100" s="5">
        <v>99</v>
      </c>
      <c r="B100" s="5" t="str">
        <v>tag-closed-check</v>
      </c>
      <c r="C100" s="5" t="str">
        <v>aclnnFusedMatmul.md</v>
      </c>
      <c r="D100" s="6" t="str">
        <f>=HYPERLINK("https://gitcode.com/caiwenwen/ops-nn/blob/master/matmul/fused_mat_mul/docs/aclnnFusedMatmul.md#L138-L138","https://gitcode.com/caiwenwen/ops-nn/blob/master/matmul/fused_mat_mul/docs/aclnnFusedMatmul.md#L138-L138")</f>
        <v>https://gitcode.com/caiwenwen/ops-nn/blob/master/matmul/fused_mat_mul/docs/aclnnFusedMatmul.md#L138-L138</v>
      </c>
      <c r="E100" s="5" t="str">
        <v>138</v>
      </c>
      <c r="F100" s="5" t="str">
        <v>Html 标签匹配失败：&lt;ul&gt;</v>
      </c>
      <c r="G100" s="5" t="str">
        <v>&lt;ul&gt;</v>
      </c>
    </row>
    <row r="101">
      <c r="A101" s="5">
        <v>100</v>
      </c>
      <c r="B101" s="5" t="str">
        <v>tag-closed-check</v>
      </c>
      <c r="C101" s="5" t="str">
        <v>aclnnFusedMatmul.md</v>
      </c>
      <c r="D101" s="6" t="str">
        <f>=HYPERLINK("https://gitcode.com/caiwenwen/ops-nn/blob/master/matmul/fused_mat_mul/docs/aclnnFusedMatmul.md#L148-L148","https://gitcode.com/caiwenwen/ops-nn/blob/master/matmul/fused_mat_mul/docs/aclnnFusedMatmul.md#L148-L148")</f>
        <v>https://gitcode.com/caiwenwen/ops-nn/blob/master/matmul/fused_mat_mul/docs/aclnnFusedMatmul.md#L148-L148</v>
      </c>
      <c r="E101" s="5" t="str">
        <v>148</v>
      </c>
      <c r="F101" s="5" t="str">
        <v>Html 标签匹配失败：&lt;ul&gt;</v>
      </c>
      <c r="G101" s="5" t="str">
        <v>&lt;ul&gt;</v>
      </c>
    </row>
    <row r="102">
      <c r="A102" s="5">
        <v>101</v>
      </c>
      <c r="B102" s="5" t="str">
        <v>tag-closed-check</v>
      </c>
      <c r="C102" s="5" t="str">
        <v>aclnnFusedMatmul.md</v>
      </c>
      <c r="D102" s="6" t="str">
        <f>=HYPERLINK("https://gitcode.com/caiwenwen/ops-nn/blob/master/matmul/fused_mat_mul/docs/aclnnFusedMatmul.md#L174-L174","https://gitcode.com/caiwenwen/ops-nn/blob/master/matmul/fused_mat_mul/docs/aclnnFusedMatmul.md#L174-L174")</f>
        <v>https://gitcode.com/caiwenwen/ops-nn/blob/master/matmul/fused_mat_mul/docs/aclnnFusedMatmul.md#L174-L174</v>
      </c>
      <c r="E102" s="5" t="str">
        <v>174</v>
      </c>
      <c r="F102" s="5" t="str">
        <v>Html 标签匹配失败：&lt;ul&gt;</v>
      </c>
      <c r="G102" s="5" t="str">
        <v>&lt;ul&gt;</v>
      </c>
    </row>
    <row r="103">
      <c r="A103" s="5">
        <v>102</v>
      </c>
      <c r="B103" s="5" t="str">
        <v>tag-closed-check</v>
      </c>
      <c r="C103" s="5" t="str">
        <v>aclnnFusedMatmul.md</v>
      </c>
      <c r="D103" s="6" t="str">
        <f>=HYPERLINK("https://gitcode.com/caiwenwen/ops-nn/blob/master/matmul/fused_mat_mul/docs/aclnnFusedMatmul.md#L184-L184","https://gitcode.com/caiwenwen/ops-nn/blob/master/matmul/fused_mat_mul/docs/aclnnFusedMatmul.md#L184-L184")</f>
        <v>https://gitcode.com/caiwenwen/ops-nn/blob/master/matmul/fused_mat_mul/docs/aclnnFusedMatmul.md#L184-L184</v>
      </c>
      <c r="E103" s="5" t="str">
        <v>184</v>
      </c>
      <c r="F103" s="5" t="str">
        <v>Html 标签匹配失败：&lt;ul&gt;</v>
      </c>
      <c r="G103" s="5" t="str">
        <v>&lt;ul&gt;</v>
      </c>
    </row>
    <row r="104">
      <c r="A104" s="5">
        <v>103</v>
      </c>
      <c r="B104" s="5" t="str">
        <v>tag-closed-check</v>
      </c>
      <c r="C104" s="5" t="str">
        <v>aclnnFusedMatmul.md</v>
      </c>
      <c r="D104" s="6" t="str">
        <f>=HYPERLINK("https://gitcode.com/caiwenwen/ops-nn/blob/master/matmul/fused_mat_mul/docs/aclnnFusedMatmul.md#L194-L194","https://gitcode.com/caiwenwen/ops-nn/blob/master/matmul/fused_mat_mul/docs/aclnnFusedMatmul.md#L194-L194")</f>
        <v>https://gitcode.com/caiwenwen/ops-nn/blob/master/matmul/fused_mat_mul/docs/aclnnFusedMatmul.md#L194-L194</v>
      </c>
      <c r="E104" s="5" t="str">
        <v>194</v>
      </c>
      <c r="F104" s="5" t="str">
        <v>Html 标签匹配失败：&lt;ul&gt;</v>
      </c>
      <c r="G104" s="5" t="str">
        <v>&lt;ul&gt;</v>
      </c>
    </row>
    <row r="105">
      <c r="A105" s="5">
        <v>104</v>
      </c>
      <c r="B105" s="5" t="str">
        <v>tag-closed-check</v>
      </c>
      <c r="C105" s="5" t="str">
        <v>aclnnFusedLinearCrossEntropyLossGrad.md</v>
      </c>
      <c r="D105" s="6" t="str">
        <f>=HYPERLINK("https://gitcode.com/caiwenwen/ops-nn/blob/master/matmul/fused_linear_cross_entropy_loss_grad/docs/aclnnFusedLinearCrossEntropyLossGrad.md#L52-L52","https://gitcode.com/caiwenwen/ops-nn/blob/master/matmul/fused_linear_cross_entropy_loss_grad/docs/aclnnFusedLinearCrossEntropyLossGrad.md#L52-L52")</f>
        <v>https://gitcode.com/caiwenwen/ops-nn/blob/master/matmul/fused_linear_cross_entropy_loss_grad/docs/aclnnFusedLinearCrossEntropyLossGrad.md#L52-L52</v>
      </c>
      <c r="E105" s="5" t="str">
        <v>52</v>
      </c>
      <c r="F105" s="5" t="str">
        <v>Html 标签匹配失败：&lt;/br&gt;</v>
      </c>
      <c r="G105" s="5" t="str">
        <v>&lt;/br&gt;</v>
      </c>
    </row>
    <row r="106">
      <c r="A106" s="5">
        <v>105</v>
      </c>
      <c r="B106" s="5" t="str">
        <v>tag-closed-check</v>
      </c>
      <c r="C106" s="5" t="str">
        <v>aclnnBaddbmm&amp;aclnnInplaceBaddbmm.md</v>
      </c>
      <c r="D106" s="6" t="str">
        <f>=HYPERLINK("https://gitcode.com/caiwenwen/ops-nn/blob/master/matmul/batch_mat_mul_v3/docs/aclnnBaddbmm&amp;aclnnInplaceBaddbmm.md#L345-L345","https://gitcode.com/caiwenwen/ops-nn/blob/master/matmul/batch_mat_mul_v3/docs/aclnnBaddbmm&amp;aclnnInplaceBaddbmm.md#L345-L345")</f>
        <v>https://gitcode.com/caiwenwen/ops-nn/blob/master/matmul/batch_mat_mul_v3/docs/aclnnBaddbmm&amp;aclnnInplaceBaddbmm.md#L345-L345</v>
      </c>
      <c r="E106" s="5" t="str">
        <v>345</v>
      </c>
      <c r="F106" s="5" t="str">
        <v>Html 标签匹配失败：&lt;li&gt;</v>
      </c>
      <c r="G106" s="5" t="str">
        <v>&lt;li&gt;</v>
      </c>
    </row>
    <row r="107">
      <c r="A107" s="5">
        <v>106</v>
      </c>
      <c r="B107" s="5" t="str">
        <v>tag-closed-check</v>
      </c>
      <c r="C107" s="5" t="str">
        <v>aclnnAddbmm&amp;aclnnInplaceAddbmm.md</v>
      </c>
      <c r="D107" s="6" t="str">
        <f>=HYPERLINK("https://gitcode.com/caiwenwen/ops-nn/blob/master/matmul/batch_mat_mul_v3/docs/aclnnAddbmm&amp;aclnnInplaceAddbmm.md#L331-L331","https://gitcode.com/caiwenwen/ops-nn/blob/master/matmul/batch_mat_mul_v3/docs/aclnnAddbmm&amp;aclnnInplaceAddbmm.md#L331-L331")</f>
        <v>https://gitcode.com/caiwenwen/ops-nn/blob/master/matmul/batch_mat_mul_v3/docs/aclnnAddbmm&amp;aclnnInplaceAddbmm.md#L331-L331</v>
      </c>
      <c r="E107" s="5" t="str">
        <v>331</v>
      </c>
      <c r="F107" s="5" t="str">
        <v>Html 标签匹配失败：&lt;li&gt;</v>
      </c>
      <c r="G107" s="5" t="str">
        <v>&lt;li&gt;</v>
      </c>
    </row>
    <row r="108">
      <c r="A108" s="5">
        <v>107</v>
      </c>
      <c r="B108" s="5" t="str">
        <v>tag-closed-check</v>
      </c>
      <c r="C108" s="5" t="str">
        <v>aclnnAddmv.md</v>
      </c>
      <c r="D108" s="6" t="str">
        <f>=HYPERLINK("https://gitcode.com/caiwenwen/ops-nn/blob/master/matmul/addmv/docs/aclnnAddmv.md#L91-L91","https://gitcode.com/caiwenwen/ops-nn/blob/master/matmul/addmv/docs/aclnnAddmv.md#L91-L91")</f>
        <v>https://gitcode.com/caiwenwen/ops-nn/blob/master/matmul/addmv/docs/aclnnAddmv.md#L91-L91</v>
      </c>
      <c r="E108" s="5" t="str">
        <v>91</v>
      </c>
      <c r="F108" s="5" t="str">
        <v>Html 标签匹配失败：&lt;li&gt;</v>
      </c>
      <c r="G108" s="5" t="str">
        <v>&lt;li&gt;</v>
      </c>
    </row>
    <row r="109">
      <c r="A109" s="5">
        <v>108</v>
      </c>
      <c r="B109" s="5" t="str">
        <v>tag-closed-check</v>
      </c>
      <c r="C109" s="5" t="str">
        <v>aclnnAddmv.md</v>
      </c>
      <c r="D109" s="6" t="str">
        <f>=HYPERLINK("https://gitcode.com/caiwenwen/ops-nn/blob/master/matmul/addmv/docs/aclnnAddmv.md#L102-L102","https://gitcode.com/caiwenwen/ops-nn/blob/master/matmul/addmv/docs/aclnnAddmv.md#L102-L102")</f>
        <v>https://gitcode.com/caiwenwen/ops-nn/blob/master/matmul/addmv/docs/aclnnAddmv.md#L102-L102</v>
      </c>
      <c r="E109" s="5" t="str">
        <v>102</v>
      </c>
      <c r="F109" s="5" t="str">
        <v>Html 标签匹配失败：&lt;li&gt;</v>
      </c>
      <c r="G109" s="5" t="str">
        <v>&lt;li&gt;</v>
      </c>
    </row>
    <row r="110">
      <c r="A110" s="5">
        <v>109</v>
      </c>
      <c r="B110" s="5" t="str">
        <v>tag-closed-check</v>
      </c>
      <c r="C110" s="5" t="str">
        <v>aclnnAddmv.md</v>
      </c>
      <c r="D110" s="6" t="str">
        <f>=HYPERLINK("https://gitcode.com/caiwenwen/ops-nn/blob/master/matmul/addmv/docs/aclnnAddmv.md#L133-L133","https://gitcode.com/caiwenwen/ops-nn/blob/master/matmul/addmv/docs/aclnnAddmv.md#L133-L133")</f>
        <v>https://gitcode.com/caiwenwen/ops-nn/blob/master/matmul/addmv/docs/aclnnAddmv.md#L133-L133</v>
      </c>
      <c r="E110" s="5" t="str">
        <v>133</v>
      </c>
      <c r="F110" s="5" t="str">
        <v>Html 标签匹配失败：&lt;li&gt;</v>
      </c>
      <c r="G110" s="5" t="str">
        <v>&lt;li&gt;</v>
      </c>
    </row>
    <row r="111">
      <c r="A111" s="5">
        <v>110</v>
      </c>
      <c r="B111" s="5" t="str">
        <v>tag-closed-check</v>
      </c>
      <c r="C111" s="5" t="str">
        <v>aclnnTopKTopPSampleV2.md</v>
      </c>
      <c r="D111" s="6" t="str">
        <f>=HYPERLINK("https://gitcode.com/caiwenwen/ops-nn/blob/master/index/top_k_top_p_sample_v2/docs/aclnnTopKTopPSampleV2.md#L369-L369","https://gitcode.com/caiwenwen/ops-nn/blob/master/index/top_k_top_p_sample_v2/docs/aclnnTopKTopPSampleV2.md#L369-L369")</f>
        <v>https://gitcode.com/caiwenwen/ops-nn/blob/master/index/top_k_top_p_sample_v2/docs/aclnnTopKTopPSampleV2.md#L369-L369</v>
      </c>
      <c r="E111" s="5" t="str">
        <v>369</v>
      </c>
      <c r="F111" s="5" t="str">
        <v>Html 标签匹配失败：&lt;/tr&gt;</v>
      </c>
      <c r="G111" s="5" t="str">
        <v>&lt;/tr&gt;</v>
      </c>
    </row>
    <row r="112">
      <c r="A112" s="5">
        <v>111</v>
      </c>
      <c r="B112" s="5" t="str">
        <v>tag-closed-check</v>
      </c>
      <c r="C112" s="5" t="str">
        <v>aclnnTopKTopPSampleV2.md</v>
      </c>
      <c r="D112" s="6" t="str">
        <f>=HYPERLINK("https://gitcode.com/caiwenwen/ops-nn/blob/master/index/top_k_top_p_sample_v2/docs/aclnnTopKTopPSampleV2.md#L370-L370","https://gitcode.com/caiwenwen/ops-nn/blob/master/index/top_k_top_p_sample_v2/docs/aclnnTopKTopPSampleV2.md#L370-L370")</f>
        <v>https://gitcode.com/caiwenwen/ops-nn/blob/master/index/top_k_top_p_sample_v2/docs/aclnnTopKTopPSampleV2.md#L370-L370</v>
      </c>
      <c r="E112" s="5" t="str">
        <v>370</v>
      </c>
      <c r="F112" s="5" t="str">
        <v>Html 标签匹配失败：&lt;/tr&gt;</v>
      </c>
      <c r="G112" s="5" t="str">
        <v>&lt;/tr&gt;</v>
      </c>
    </row>
    <row r="113">
      <c r="A113" s="5">
        <v>112</v>
      </c>
      <c r="B113" s="5" t="str">
        <v>tag-closed-check</v>
      </c>
      <c r="C113" s="5" t="str">
        <v>aclnnTopKTopPSampleV2.md</v>
      </c>
      <c r="D113" s="6" t="str">
        <f>=HYPERLINK("https://gitcode.com/caiwenwen/ops-nn/blob/master/index/top_k_top_p_sample_v2/docs/aclnnTopKTopPSampleV2.md#L379-L379","https://gitcode.com/caiwenwen/ops-nn/blob/master/index/top_k_top_p_sample_v2/docs/aclnnTopKTopPSampleV2.md#L379-L379")</f>
        <v>https://gitcode.com/caiwenwen/ops-nn/blob/master/index/top_k_top_p_sample_v2/docs/aclnnTopKTopPSampleV2.md#L379-L379</v>
      </c>
      <c r="E113" s="5" t="str">
        <v>379</v>
      </c>
      <c r="F113" s="5" t="str">
        <v>Html 标签匹配失败：&lt;/tr&gt;</v>
      </c>
      <c r="G113" s="5" t="str">
        <v>&lt;/tr&gt;</v>
      </c>
    </row>
    <row r="114">
      <c r="A114" s="5">
        <v>113</v>
      </c>
      <c r="B114" s="5" t="str">
        <v>tag-closed-check</v>
      </c>
      <c r="C114" s="5" t="str">
        <v>aclnnTopKTopPSampleV2.md</v>
      </c>
      <c r="D114" s="6" t="str">
        <f>=HYPERLINK("https://gitcode.com/caiwenwen/ops-nn/blob/master/index/top_k_top_p_sample_v2/docs/aclnnTopKTopPSampleV2.md#L380-L380","https://gitcode.com/caiwenwen/ops-nn/blob/master/index/top_k_top_p_sample_v2/docs/aclnnTopKTopPSampleV2.md#L380-L380")</f>
        <v>https://gitcode.com/caiwenwen/ops-nn/blob/master/index/top_k_top_p_sample_v2/docs/aclnnTopKTopPSampleV2.md#L380-L380</v>
      </c>
      <c r="E114" s="5" t="str">
        <v>380</v>
      </c>
      <c r="F114" s="5" t="str">
        <v>Html 标签匹配失败：&lt;/tr&gt;</v>
      </c>
      <c r="G114" s="5" t="str">
        <v>&lt;/tr&gt;</v>
      </c>
    </row>
    <row r="115">
      <c r="A115" s="5">
        <v>114</v>
      </c>
      <c r="B115" s="5" t="str">
        <v>tag-closed-check</v>
      </c>
      <c r="C115" s="5" t="str">
        <v>aclnnTopKTopPSampleV2.md</v>
      </c>
      <c r="D115" s="6" t="str">
        <f>=HYPERLINK("https://gitcode.com/caiwenwen/ops-nn/blob/master/index/top_k_top_p_sample_v2/docs/aclnnTopKTopPSampleV2.md#L389-L389","https://gitcode.com/caiwenwen/ops-nn/blob/master/index/top_k_top_p_sample_v2/docs/aclnnTopKTopPSampleV2.md#L389-L389")</f>
        <v>https://gitcode.com/caiwenwen/ops-nn/blob/master/index/top_k_top_p_sample_v2/docs/aclnnTopKTopPSampleV2.md#L389-L389</v>
      </c>
      <c r="E115" s="5" t="str">
        <v>389</v>
      </c>
      <c r="F115" s="5" t="str">
        <v>Html 标签匹配失败：&lt;/tr&gt;</v>
      </c>
      <c r="G115" s="5" t="str">
        <v>&lt;/tr&gt;</v>
      </c>
    </row>
    <row r="116">
      <c r="A116" s="5">
        <v>115</v>
      </c>
      <c r="B116" s="5" t="str">
        <v>tag-closed-check</v>
      </c>
      <c r="C116" s="5" t="str">
        <v>aclnnTopKTopPSampleV2.md</v>
      </c>
      <c r="D116" s="6" t="str">
        <f>=HYPERLINK("https://gitcode.com/caiwenwen/ops-nn/blob/master/index/top_k_top_p_sample_v2/docs/aclnnTopKTopPSampleV2.md#L390-L390","https://gitcode.com/caiwenwen/ops-nn/blob/master/index/top_k_top_p_sample_v2/docs/aclnnTopKTopPSampleV2.md#L390-L390")</f>
        <v>https://gitcode.com/caiwenwen/ops-nn/blob/master/index/top_k_top_p_sample_v2/docs/aclnnTopKTopPSampleV2.md#L390-L390</v>
      </c>
      <c r="E116" s="5" t="str">
        <v>390</v>
      </c>
      <c r="F116" s="5" t="str">
        <v>Html 标签匹配失败：&lt;/tr&gt;</v>
      </c>
      <c r="G116" s="5" t="str">
        <v>&lt;/tr&gt;</v>
      </c>
    </row>
    <row r="117">
      <c r="A117" s="5">
        <v>116</v>
      </c>
      <c r="B117" s="5" t="str">
        <v>tag-closed-check</v>
      </c>
      <c r="C117" s="5" t="str">
        <v>aclnnTopKTopPSampleV2.md</v>
      </c>
      <c r="D117" s="6" t="str">
        <f>=HYPERLINK("https://gitcode.com/caiwenwen/ops-nn/blob/master/index/top_k_top_p_sample_v2/docs/aclnnTopKTopPSampleV2.md#L399-L399","https://gitcode.com/caiwenwen/ops-nn/blob/master/index/top_k_top_p_sample_v2/docs/aclnnTopKTopPSampleV2.md#L399-L399")</f>
        <v>https://gitcode.com/caiwenwen/ops-nn/blob/master/index/top_k_top_p_sample_v2/docs/aclnnTopKTopPSampleV2.md#L399-L399</v>
      </c>
      <c r="E117" s="5" t="str">
        <v>399</v>
      </c>
      <c r="F117" s="5" t="str">
        <v>Html 标签匹配失败：&lt;/tr&gt;</v>
      </c>
      <c r="G117" s="5" t="str">
        <v>&lt;/tr&gt;</v>
      </c>
    </row>
    <row r="118">
      <c r="A118" s="5">
        <v>117</v>
      </c>
      <c r="B118" s="5" t="str">
        <v>tag-closed-check</v>
      </c>
      <c r="C118" s="5" t="str">
        <v>aclnnTopKTopPSampleV2.md</v>
      </c>
      <c r="D118" s="6" t="str">
        <f>=HYPERLINK("https://gitcode.com/caiwenwen/ops-nn/blob/master/index/top_k_top_p_sample_v2/docs/aclnnTopKTopPSampleV2.md#L400-L400","https://gitcode.com/caiwenwen/ops-nn/blob/master/index/top_k_top_p_sample_v2/docs/aclnnTopKTopPSampleV2.md#L400-L400")</f>
        <v>https://gitcode.com/caiwenwen/ops-nn/blob/master/index/top_k_top_p_sample_v2/docs/aclnnTopKTopPSampleV2.md#L400-L400</v>
      </c>
      <c r="E118" s="5" t="str">
        <v>400</v>
      </c>
      <c r="F118" s="5" t="str">
        <v>Html 标签匹配失败：&lt;/tr&gt;</v>
      </c>
      <c r="G118" s="5" t="str">
        <v>&lt;/tr&gt;</v>
      </c>
    </row>
    <row r="119">
      <c r="A119" s="5">
        <v>118</v>
      </c>
      <c r="B119" s="5" t="str">
        <v>tag-closed-check</v>
      </c>
      <c r="C119" s="5" t="str">
        <v>aclnnTopKTopPSampleV2.md</v>
      </c>
      <c r="D119" s="6" t="str">
        <f>=HYPERLINK("https://gitcode.com/caiwenwen/ops-nn/blob/master/index/top_k_top_p_sample_v2/docs/aclnnTopKTopPSampleV2.md#L409-L409","https://gitcode.com/caiwenwen/ops-nn/blob/master/index/top_k_top_p_sample_v2/docs/aclnnTopKTopPSampleV2.md#L409-L409")</f>
        <v>https://gitcode.com/caiwenwen/ops-nn/blob/master/index/top_k_top_p_sample_v2/docs/aclnnTopKTopPSampleV2.md#L409-L409</v>
      </c>
      <c r="E119" s="5" t="str">
        <v>409</v>
      </c>
      <c r="F119" s="5" t="str">
        <v>Html 标签匹配失败：&lt;/tr&gt;</v>
      </c>
      <c r="G119" s="5" t="str">
        <v>&lt;/tr&gt;</v>
      </c>
    </row>
    <row r="120">
      <c r="A120" s="5">
        <v>119</v>
      </c>
      <c r="B120" s="5" t="str">
        <v>tag-closed-check</v>
      </c>
      <c r="C120" s="5" t="str">
        <v>aclnnTopKTopPSampleV2.md</v>
      </c>
      <c r="D120" s="6" t="str">
        <f>=HYPERLINK("https://gitcode.com/caiwenwen/ops-nn/blob/master/index/top_k_top_p_sample_v2/docs/aclnnTopKTopPSampleV2.md#L410-L410","https://gitcode.com/caiwenwen/ops-nn/blob/master/index/top_k_top_p_sample_v2/docs/aclnnTopKTopPSampleV2.md#L410-L410")</f>
        <v>https://gitcode.com/caiwenwen/ops-nn/blob/master/index/top_k_top_p_sample_v2/docs/aclnnTopKTopPSampleV2.md#L410-L410</v>
      </c>
      <c r="E120" s="5" t="str">
        <v>410</v>
      </c>
      <c r="F120" s="5" t="str">
        <v>Html 标签匹配失败：&lt;/tr&gt;</v>
      </c>
      <c r="G120" s="5" t="str">
        <v>&lt;/tr&gt;</v>
      </c>
    </row>
    <row r="121">
      <c r="A121" s="5">
        <v>120</v>
      </c>
      <c r="B121" s="5" t="str">
        <v>tag-closed-check</v>
      </c>
      <c r="C121" s="5" t="str">
        <v>aclnnTopKTopPSampleV2.md</v>
      </c>
      <c r="D121" s="6" t="str">
        <f>=HYPERLINK("https://gitcode.com/caiwenwen/ops-nn/blob/master/index/top_k_top_p_sample_v2/docs/aclnnTopKTopPSampleV2.md#L419-L419","https://gitcode.com/caiwenwen/ops-nn/blob/master/index/top_k_top_p_sample_v2/docs/aclnnTopKTopPSampleV2.md#L419-L419")</f>
        <v>https://gitcode.com/caiwenwen/ops-nn/blob/master/index/top_k_top_p_sample_v2/docs/aclnnTopKTopPSampleV2.md#L419-L419</v>
      </c>
      <c r="E121" s="5" t="str">
        <v>419</v>
      </c>
      <c r="F121" s="5" t="str">
        <v>Html 标签匹配失败：&lt;/tr&gt;</v>
      </c>
      <c r="G121" s="5" t="str">
        <v>&lt;/tr&gt;</v>
      </c>
    </row>
    <row r="122">
      <c r="A122" s="5">
        <v>121</v>
      </c>
      <c r="B122" s="5" t="str">
        <v>tag-closed-check</v>
      </c>
      <c r="C122" s="5" t="str">
        <v>aclnnTopKTopPSampleV2.md</v>
      </c>
      <c r="D122" s="6" t="str">
        <f>=HYPERLINK("https://gitcode.com/caiwenwen/ops-nn/blob/master/index/top_k_top_p_sample_v2/docs/aclnnTopKTopPSampleV2.md#L420-L420","https://gitcode.com/caiwenwen/ops-nn/blob/master/index/top_k_top_p_sample_v2/docs/aclnnTopKTopPSampleV2.md#L420-L420")</f>
        <v>https://gitcode.com/caiwenwen/ops-nn/blob/master/index/top_k_top_p_sample_v2/docs/aclnnTopKTopPSampleV2.md#L420-L420</v>
      </c>
      <c r="E122" s="5" t="str">
        <v>420</v>
      </c>
      <c r="F122" s="5" t="str">
        <v>Html 标签匹配失败：&lt;/tr&gt;</v>
      </c>
      <c r="G122" s="5" t="str">
        <v>&lt;/tr&gt;</v>
      </c>
    </row>
    <row r="123">
      <c r="A123" s="5">
        <v>122</v>
      </c>
      <c r="B123" s="5" t="str">
        <v>tag-closed-check</v>
      </c>
      <c r="C123" s="5" t="str">
        <v>aclnnTopKTopPSampleV2.md</v>
      </c>
      <c r="D123" s="6" t="str">
        <f>=HYPERLINK("https://gitcode.com/caiwenwen/ops-nn/blob/master/index/top_k_top_p_sample_v2/docs/aclnnTopKTopPSampleV2.md#L429-L429","https://gitcode.com/caiwenwen/ops-nn/blob/master/index/top_k_top_p_sample_v2/docs/aclnnTopKTopPSampleV2.md#L429-L429")</f>
        <v>https://gitcode.com/caiwenwen/ops-nn/blob/master/index/top_k_top_p_sample_v2/docs/aclnnTopKTopPSampleV2.md#L429-L429</v>
      </c>
      <c r="E123" s="5" t="str">
        <v>429</v>
      </c>
      <c r="F123" s="5" t="str">
        <v>Html 标签匹配失败：&lt;/tr&gt;</v>
      </c>
      <c r="G123" s="5" t="str">
        <v>&lt;/tr&gt;</v>
      </c>
    </row>
    <row r="124">
      <c r="A124" s="5">
        <v>123</v>
      </c>
      <c r="B124" s="5" t="str">
        <v>tag-closed-check</v>
      </c>
      <c r="C124" s="5" t="str">
        <v>aclnnTopKTopPSampleV2.md</v>
      </c>
      <c r="D124" s="6" t="str">
        <f>=HYPERLINK("https://gitcode.com/caiwenwen/ops-nn/blob/master/index/top_k_top_p_sample_v2/docs/aclnnTopKTopPSampleV2.md#L430-L430","https://gitcode.com/caiwenwen/ops-nn/blob/master/index/top_k_top_p_sample_v2/docs/aclnnTopKTopPSampleV2.md#L430-L430")</f>
        <v>https://gitcode.com/caiwenwen/ops-nn/blob/master/index/top_k_top_p_sample_v2/docs/aclnnTopKTopPSampleV2.md#L430-L430</v>
      </c>
      <c r="E124" s="5" t="str">
        <v>430</v>
      </c>
      <c r="F124" s="5" t="str">
        <v>Html 标签匹配失败：&lt;/tr&gt;</v>
      </c>
      <c r="G124" s="5" t="str">
        <v>&lt;/tr&gt;</v>
      </c>
    </row>
    <row r="125">
      <c r="A125" s="5">
        <v>124</v>
      </c>
      <c r="B125" s="5" t="str">
        <v>tag-closed-check</v>
      </c>
      <c r="C125" s="5" t="str">
        <v>aclnnTopKTopPSampleV2.md</v>
      </c>
      <c r="D125" s="6" t="str">
        <f>=HYPERLINK("https://gitcode.com/caiwenwen/ops-nn/blob/master/index/top_k_top_p_sample_v2/docs/aclnnTopKTopPSampleV2.md#L439-L439","https://gitcode.com/caiwenwen/ops-nn/blob/master/index/top_k_top_p_sample_v2/docs/aclnnTopKTopPSampleV2.md#L439-L439")</f>
        <v>https://gitcode.com/caiwenwen/ops-nn/blob/master/index/top_k_top_p_sample_v2/docs/aclnnTopKTopPSampleV2.md#L439-L439</v>
      </c>
      <c r="E125" s="5" t="str">
        <v>439</v>
      </c>
      <c r="F125" s="5" t="str">
        <v>Html 标签匹配失败：&lt;/tr&gt;</v>
      </c>
      <c r="G125" s="5" t="str">
        <v>&lt;/tr&gt;</v>
      </c>
    </row>
    <row r="126">
      <c r="A126" s="5">
        <v>125</v>
      </c>
      <c r="B126" s="5" t="str">
        <v>tag-closed-check</v>
      </c>
      <c r="C126" s="5" t="str">
        <v>aclnnTopKTopPSampleV2.md</v>
      </c>
      <c r="D126" s="6" t="str">
        <f>=HYPERLINK("https://gitcode.com/caiwenwen/ops-nn/blob/master/index/top_k_top_p_sample_v2/docs/aclnnTopKTopPSampleV2.md#L440-L440","https://gitcode.com/caiwenwen/ops-nn/blob/master/index/top_k_top_p_sample_v2/docs/aclnnTopKTopPSampleV2.md#L440-L440")</f>
        <v>https://gitcode.com/caiwenwen/ops-nn/blob/master/index/top_k_top_p_sample_v2/docs/aclnnTopKTopPSampleV2.md#L440-L440</v>
      </c>
      <c r="E126" s="5" t="str">
        <v>440</v>
      </c>
      <c r="F126" s="5" t="str">
        <v>Html 标签匹配失败：&lt;/tr&gt;</v>
      </c>
      <c r="G126" s="5" t="str">
        <v>&lt;/tr&gt;</v>
      </c>
    </row>
    <row r="127">
      <c r="A127" s="5">
        <v>126</v>
      </c>
      <c r="B127" s="5" t="str">
        <v>tag-closed-check</v>
      </c>
      <c r="C127" s="5" t="str">
        <v>aclnnTopKTopPSampleV2.md</v>
      </c>
      <c r="D127" s="6" t="str">
        <f>=HYPERLINK("https://gitcode.com/caiwenwen/ops-nn/blob/master/index/top_k_top_p_sample_v2/docs/aclnnTopKTopPSampleV2.md#L449-L449","https://gitcode.com/caiwenwen/ops-nn/blob/master/index/top_k_top_p_sample_v2/docs/aclnnTopKTopPSampleV2.md#L449-L449")</f>
        <v>https://gitcode.com/caiwenwen/ops-nn/blob/master/index/top_k_top_p_sample_v2/docs/aclnnTopKTopPSampleV2.md#L449-L449</v>
      </c>
      <c r="E127" s="5" t="str">
        <v>449</v>
      </c>
      <c r="F127" s="5" t="str">
        <v>Html 标签匹配失败：&lt;/tr&gt;</v>
      </c>
      <c r="G127" s="5" t="str">
        <v>&lt;/tr&gt;</v>
      </c>
    </row>
    <row r="128">
      <c r="A128" s="5">
        <v>127</v>
      </c>
      <c r="B128" s="5" t="str">
        <v>tag-closed-check</v>
      </c>
      <c r="C128" s="5" t="str">
        <v>aclnnTopKTopPSample.md</v>
      </c>
      <c r="D128" s="6" t="str">
        <f>=HYPERLINK("https://gitcode.com/caiwenwen/ops-nn/blob/master/index/top_k_top_p_sample/docs/aclnnTopKTopPSample.md#L278-L278","https://gitcode.com/caiwenwen/ops-nn/blob/master/index/top_k_top_p_sample/docs/aclnnTopKTopPSample.md#L278-L278")</f>
        <v>https://gitcode.com/caiwenwen/ops-nn/blob/master/index/top_k_top_p_sample/docs/aclnnTopKTopPSample.md#L278-L278</v>
      </c>
      <c r="E128" s="5" t="str">
        <v>278</v>
      </c>
      <c r="F128" s="5" t="str">
        <v>Html 标签匹配失败：&lt;/tr&gt;</v>
      </c>
      <c r="G128" s="5" t="str">
        <v>&lt;/tr&gt;</v>
      </c>
    </row>
    <row r="129">
      <c r="A129" s="5">
        <v>128</v>
      </c>
      <c r="B129" s="5" t="str">
        <v>tag-closed-check</v>
      </c>
      <c r="C129" s="5" t="str">
        <v>aclnnTopKTopPSample.md</v>
      </c>
      <c r="D129" s="6" t="str">
        <f>=HYPERLINK("https://gitcode.com/caiwenwen/ops-nn/blob/master/index/top_k_top_p_sample/docs/aclnnTopKTopPSample.md#L279-L279","https://gitcode.com/caiwenwen/ops-nn/blob/master/index/top_k_top_p_sample/docs/aclnnTopKTopPSample.md#L279-L279")</f>
        <v>https://gitcode.com/caiwenwen/ops-nn/blob/master/index/top_k_top_p_sample/docs/aclnnTopKTopPSample.md#L279-L279</v>
      </c>
      <c r="E129" s="5" t="str">
        <v>279</v>
      </c>
      <c r="F129" s="5" t="str">
        <v>Html 标签匹配失败：&lt;/tr&gt;</v>
      </c>
      <c r="G129" s="5" t="str">
        <v>&lt;/tr&gt;</v>
      </c>
    </row>
    <row r="130">
      <c r="A130" s="5">
        <v>129</v>
      </c>
      <c r="B130" s="5" t="str">
        <v>tag-closed-check</v>
      </c>
      <c r="C130" s="5" t="str">
        <v>aclnnTopKTopPSample.md</v>
      </c>
      <c r="D130" s="6" t="str">
        <f>=HYPERLINK("https://gitcode.com/caiwenwen/ops-nn/blob/master/index/top_k_top_p_sample/docs/aclnnTopKTopPSample.md#L288-L288","https://gitcode.com/caiwenwen/ops-nn/blob/master/index/top_k_top_p_sample/docs/aclnnTopKTopPSample.md#L288-L288")</f>
        <v>https://gitcode.com/caiwenwen/ops-nn/blob/master/index/top_k_top_p_sample/docs/aclnnTopKTopPSample.md#L288-L288</v>
      </c>
      <c r="E130" s="5" t="str">
        <v>288</v>
      </c>
      <c r="F130" s="5" t="str">
        <v>Html 标签匹配失败：&lt;/tr&gt;</v>
      </c>
      <c r="G130" s="5" t="str">
        <v>&lt;/tr&gt;</v>
      </c>
    </row>
    <row r="131">
      <c r="A131" s="5">
        <v>130</v>
      </c>
      <c r="B131" s="5" t="str">
        <v>tag-closed-check</v>
      </c>
      <c r="C131" s="5" t="str">
        <v>aclnnTopKTopPSample.md</v>
      </c>
      <c r="D131" s="6" t="str">
        <f>=HYPERLINK("https://gitcode.com/caiwenwen/ops-nn/blob/master/index/top_k_top_p_sample/docs/aclnnTopKTopPSample.md#L289-L289","https://gitcode.com/caiwenwen/ops-nn/blob/master/index/top_k_top_p_sample/docs/aclnnTopKTopPSample.md#L289-L289")</f>
        <v>https://gitcode.com/caiwenwen/ops-nn/blob/master/index/top_k_top_p_sample/docs/aclnnTopKTopPSample.md#L289-L289</v>
      </c>
      <c r="E131" s="5" t="str">
        <v>289</v>
      </c>
      <c r="F131" s="5" t="str">
        <v>Html 标签匹配失败：&lt;/tr&gt;</v>
      </c>
      <c r="G131" s="5" t="str">
        <v>&lt;/tr&gt;</v>
      </c>
    </row>
    <row r="132">
      <c r="A132" s="5">
        <v>131</v>
      </c>
      <c r="B132" s="5" t="str">
        <v>tag-closed-check</v>
      </c>
      <c r="C132" s="5" t="str">
        <v>aclnnTopKTopPSample.md</v>
      </c>
      <c r="D132" s="6" t="str">
        <f>=HYPERLINK("https://gitcode.com/caiwenwen/ops-nn/blob/master/index/top_k_top_p_sample/docs/aclnnTopKTopPSample.md#L298-L298","https://gitcode.com/caiwenwen/ops-nn/blob/master/index/top_k_top_p_sample/docs/aclnnTopKTopPSample.md#L298-L298")</f>
        <v>https://gitcode.com/caiwenwen/ops-nn/blob/master/index/top_k_top_p_sample/docs/aclnnTopKTopPSample.md#L298-L298</v>
      </c>
      <c r="E132" s="5" t="str">
        <v>298</v>
      </c>
      <c r="F132" s="5" t="str">
        <v>Html 标签匹配失败：&lt;/tr&gt;</v>
      </c>
      <c r="G132" s="5" t="str">
        <v>&lt;/tr&gt;</v>
      </c>
    </row>
    <row r="133">
      <c r="A133" s="5">
        <v>132</v>
      </c>
      <c r="B133" s="5" t="str">
        <v>tag-closed-check</v>
      </c>
      <c r="C133" s="5" t="str">
        <v>aclnnTopKTopPSample.md</v>
      </c>
      <c r="D133" s="6" t="str">
        <f>=HYPERLINK("https://gitcode.com/caiwenwen/ops-nn/blob/master/index/top_k_top_p_sample/docs/aclnnTopKTopPSample.md#L299-L299","https://gitcode.com/caiwenwen/ops-nn/blob/master/index/top_k_top_p_sample/docs/aclnnTopKTopPSample.md#L299-L299")</f>
        <v>https://gitcode.com/caiwenwen/ops-nn/blob/master/index/top_k_top_p_sample/docs/aclnnTopKTopPSample.md#L299-L299</v>
      </c>
      <c r="E133" s="5" t="str">
        <v>299</v>
      </c>
      <c r="F133" s="5" t="str">
        <v>Html 标签匹配失败：&lt;/tr&gt;</v>
      </c>
      <c r="G133" s="5" t="str">
        <v>&lt;/tr&gt;</v>
      </c>
    </row>
    <row r="134">
      <c r="A134" s="5">
        <v>133</v>
      </c>
      <c r="B134" s="5" t="str">
        <v>tag-closed-check</v>
      </c>
      <c r="C134" s="5" t="str">
        <v>aclnnTopKTopPSample.md</v>
      </c>
      <c r="D134" s="6" t="str">
        <f>=HYPERLINK("https://gitcode.com/caiwenwen/ops-nn/blob/master/index/top_k_top_p_sample/docs/aclnnTopKTopPSample.md#L308-L308","https://gitcode.com/caiwenwen/ops-nn/blob/master/index/top_k_top_p_sample/docs/aclnnTopKTopPSample.md#L308-L308")</f>
        <v>https://gitcode.com/caiwenwen/ops-nn/blob/master/index/top_k_top_p_sample/docs/aclnnTopKTopPSample.md#L308-L308</v>
      </c>
      <c r="E134" s="5" t="str">
        <v>308</v>
      </c>
      <c r="F134" s="5" t="str">
        <v>Html 标签匹配失败：&lt;/tr&gt;</v>
      </c>
      <c r="G134" s="5" t="str">
        <v>&lt;/tr&gt;</v>
      </c>
    </row>
    <row r="135">
      <c r="A135" s="5">
        <v>134</v>
      </c>
      <c r="B135" s="5" t="str">
        <v>tag-closed-check</v>
      </c>
      <c r="C135" s="5" t="str">
        <v>aclnnFlip.md</v>
      </c>
      <c r="D135" s="6" t="str">
        <f>=HYPERLINK("https://gitcode.com/caiwenwen/ops-nn/blob/master/index/reverse_v2/docs/aclnnFlip.md#L88-L88","https://gitcode.com/caiwenwen/ops-nn/blob/master/index/reverse_v2/docs/aclnnFlip.md#L88-L88")</f>
        <v>https://gitcode.com/caiwenwen/ops-nn/blob/master/index/reverse_v2/docs/aclnnFlip.md#L88-L88</v>
      </c>
      <c r="E135" s="5" t="str">
        <v>88</v>
      </c>
      <c r="F135" s="5" t="str">
        <v>Html 标签匹配失败：&lt;/ul&gt;</v>
      </c>
      <c r="G135" s="5" t="str">
        <v>&lt;/ul&gt;</v>
      </c>
    </row>
    <row r="136">
      <c r="A136" s="5">
        <v>135</v>
      </c>
      <c r="B136" s="5" t="str">
        <v>tag-closed-check</v>
      </c>
      <c r="C136" s="5" t="str">
        <v>aclnnGather.md</v>
      </c>
      <c r="D136" s="6" t="str">
        <f>=HYPERLINK("https://gitcode.com/caiwenwen/ops-nn/blob/master/index/gather_elements_v2/docs/aclnnGather.md#L74-L74","https://gitcode.com/caiwenwen/ops-nn/blob/master/index/gather_elements_v2/docs/aclnnGather.md#L74-L74")</f>
        <v>https://gitcode.com/caiwenwen/ops-nn/blob/master/index/gather_elements_v2/docs/aclnnGather.md#L74-L74</v>
      </c>
      <c r="E136" s="5" t="str">
        <v>74</v>
      </c>
      <c r="F136" s="5" t="str">
        <v>Html 标签匹配失败：&lt;table style="undefined;table-layout: fixed; width: 1438px"&gt;</v>
      </c>
      <c r="G136" s="5" t="str">
        <v>&lt;table style="undefined;table-layout: fixed; width: 1438px"&gt;</v>
      </c>
    </row>
    <row r="137">
      <c r="A137" s="5">
        <v>136</v>
      </c>
      <c r="B137" s="5" t="str">
        <v>tag-closed-check</v>
      </c>
      <c r="C137" s="5" t="str">
        <v>aclnnGather.md</v>
      </c>
      <c r="D137" s="6" t="str">
        <f>=HYPERLINK("https://gitcode.com/caiwenwen/ops-nn/blob/master/index/gather_elements_v2/docs/aclnnGather.md#L95-L95","https://gitcode.com/caiwenwen/ops-nn/blob/master/index/gather_elements_v2/docs/aclnnGather.md#L95-L95")</f>
        <v>https://gitcode.com/caiwenwen/ops-nn/blob/master/index/gather_elements_v2/docs/aclnnGather.md#L95-L95</v>
      </c>
      <c r="E137" s="5" t="str">
        <v>95</v>
      </c>
      <c r="F137" s="5" t="str">
        <v>Html 标签匹配失败：&lt;tbody&gt;</v>
      </c>
      <c r="G137" s="5" t="str">
        <v>&lt;tbody&gt;</v>
      </c>
    </row>
    <row r="138">
      <c r="A138" s="5">
        <v>137</v>
      </c>
      <c r="B138" s="5" t="str">
        <v>tag-closed-check</v>
      </c>
      <c r="C138" s="5" t="str">
        <v>aclnnGather.md</v>
      </c>
      <c r="D138" s="6" t="str">
        <f>=HYPERLINK("https://gitcode.com/caiwenwen/ops-nn/blob/master/index/gather_elements_v2/docs/aclnnGather.md#L116-L116","https://gitcode.com/caiwenwen/ops-nn/blob/master/index/gather_elements_v2/docs/aclnnGather.md#L116-L116")</f>
        <v>https://gitcode.com/caiwenwen/ops-nn/blob/master/index/gather_elements_v2/docs/aclnnGather.md#L116-L116</v>
      </c>
      <c r="E138" s="5" t="str">
        <v>116</v>
      </c>
      <c r="F138" s="5" t="str">
        <v>Html 标签匹配失败：&lt;tr&gt;</v>
      </c>
      <c r="G138" s="5" t="str">
        <v>&lt;tr&gt;</v>
      </c>
    </row>
    <row r="139">
      <c r="A139" s="5">
        <v>138</v>
      </c>
      <c r="B139" s="5" t="str">
        <v>tag-closed-check</v>
      </c>
      <c r="C139" s="5" t="str">
        <v>aclnnGather.md</v>
      </c>
      <c r="D139" s="6" t="str">
        <f>=HYPERLINK("https://gitcode.com/caiwenwen/ops-nn/blob/master/index/gather_elements_v2/docs/aclnnGather.md#L120-L120","https://gitcode.com/caiwenwen/ops-nn/blob/master/index/gather_elements_v2/docs/aclnnGather.md#L120-L120")</f>
        <v>https://gitcode.com/caiwenwen/ops-nn/blob/master/index/gather_elements_v2/docs/aclnnGather.md#L120-L120</v>
      </c>
      <c r="E139" s="5" t="str">
        <v>120</v>
      </c>
      <c r="F139" s="5" t="str">
        <v>Html 标签匹配失败：&lt;td&gt;</v>
      </c>
      <c r="G139" s="5" t="str">
        <v>&lt;td&gt;</v>
      </c>
    </row>
    <row r="140">
      <c r="A140" s="5">
        <v>139</v>
      </c>
      <c r="B140" s="5" t="str">
        <v>tag-closed-check</v>
      </c>
      <c r="C140" s="5" t="str">
        <v>aclnnGather.md</v>
      </c>
      <c r="D140" s="6" t="str">
        <f>=HYPERLINK("https://gitcode.com/caiwenwen/ops-nn/blob/master/index/gather_elements_v2/docs/aclnnGather.md#L121-L121","https://gitcode.com/caiwenwen/ops-nn/blob/master/index/gather_elements_v2/docs/aclnnGather.md#L121-L121")</f>
        <v>https://gitcode.com/caiwenwen/ops-nn/blob/master/index/gather_elements_v2/docs/aclnnGather.md#L121-L121</v>
      </c>
      <c r="E140" s="5" t="str">
        <v>121</v>
      </c>
      <c r="F140" s="5" t="str">
        <v>Html 标签匹配失败：&lt;/td&gt;</v>
      </c>
      <c r="G140" s="5" t="str">
        <v>&lt;/td&gt;</v>
      </c>
    </row>
    <row r="141">
      <c r="A141" s="5">
        <v>140</v>
      </c>
      <c r="B141" s="5" t="str">
        <v>tag-closed-check</v>
      </c>
      <c r="C141" s="5" t="str">
        <v>aclnnGather.md</v>
      </c>
      <c r="D141" s="6" t="str">
        <f>=HYPERLINK("https://gitcode.com/caiwenwen/ops-nn/blob/master/index/gather_elements_v2/docs/aclnnGather.md#L126-L126","https://gitcode.com/caiwenwen/ops-nn/blob/master/index/gather_elements_v2/docs/aclnnGather.md#L126-L126")</f>
        <v>https://gitcode.com/caiwenwen/ops-nn/blob/master/index/gather_elements_v2/docs/aclnnGather.md#L126-L126</v>
      </c>
      <c r="E141" s="5" t="str">
        <v>126</v>
      </c>
      <c r="F141" s="5" t="str">
        <v>Html 标签匹配失败：&lt;/tr&gt;</v>
      </c>
      <c r="G141" s="5" t="str">
        <v>&lt;/tr&gt;</v>
      </c>
    </row>
    <row r="142">
      <c r="A142" s="5">
        <v>141</v>
      </c>
      <c r="B142" s="5" t="str">
        <v>tag-closed-check</v>
      </c>
      <c r="C142" s="5" t="str">
        <v>aclnnGather.md</v>
      </c>
      <c r="D142" s="6" t="str">
        <f>=HYPERLINK("https://gitcode.com/caiwenwen/ops-nn/blob/master/index/gather_elements_v2/docs/aclnnGather.md#L157-L157","https://gitcode.com/caiwenwen/ops-nn/blob/master/index/gather_elements_v2/docs/aclnnGather.md#L157-L157")</f>
        <v>https://gitcode.com/caiwenwen/ops-nn/blob/master/index/gather_elements_v2/docs/aclnnGather.md#L157-L157</v>
      </c>
      <c r="E142" s="5" t="str">
        <v>157</v>
      </c>
      <c r="F142" s="5" t="str">
        <v>Html 标签匹配失败：&lt;/tbody&gt;</v>
      </c>
      <c r="G142" s="5" t="str">
        <v>&lt;/tbody&gt;</v>
      </c>
    </row>
    <row r="143">
      <c r="A143" s="5">
        <v>142</v>
      </c>
      <c r="B143" s="5" t="str">
        <v>tag-closed-check</v>
      </c>
      <c r="C143" s="5" t="str">
        <v>aclnnGather.md</v>
      </c>
      <c r="D143" s="6" t="str">
        <f>=HYPERLINK("https://gitcode.com/caiwenwen/ops-nn/blob/master/index/gather_elements_v2/docs/aclnnGather.md#L157-L157","https://gitcode.com/caiwenwen/ops-nn/blob/master/index/gather_elements_v2/docs/aclnnGather.md#L157-L157")</f>
        <v>https://gitcode.com/caiwenwen/ops-nn/blob/master/index/gather_elements_v2/docs/aclnnGather.md#L157-L157</v>
      </c>
      <c r="E143" s="5" t="str">
        <v>157</v>
      </c>
      <c r="F143" s="5" t="str">
        <v>Html 标签匹配失败：&lt;/table&gt;</v>
      </c>
      <c r="G143" s="5" t="str">
        <v>&lt;/table&gt;</v>
      </c>
    </row>
    <row r="144">
      <c r="A144" s="5">
        <v>143</v>
      </c>
      <c r="B144" s="5" t="str">
        <v>tag-closed-check</v>
      </c>
      <c r="C144" s="5" t="str">
        <v>aclnnEmbeddingDenseBackward.md</v>
      </c>
      <c r="D144" s="6" t="str">
        <f>=HYPERLINK("https://gitcode.com/caiwenwen/ops-nn/blob/master/index/embedding_dense_grad/docs/aclnnEmbeddingDenseBackward.md#L38-L38","https://gitcode.com/caiwenwen/ops-nn/blob/master/index/embedding_dense_grad/docs/aclnnEmbeddingDenseBackward.md#L38-L38")</f>
        <v>https://gitcode.com/caiwenwen/ops-nn/blob/master/index/embedding_dense_grad/docs/aclnnEmbeddingDenseBackward.md#L38-L38</v>
      </c>
      <c r="E144" s="5" t="str">
        <v>38</v>
      </c>
      <c r="F144" s="5" t="str">
        <v>Html 标签匹配失败：&lt;/term&gt;</v>
      </c>
      <c r="G144" s="5" t="str">
        <v>&lt;/term&gt;</v>
      </c>
    </row>
    <row r="145">
      <c r="A145" s="5">
        <v>144</v>
      </c>
      <c r="B145" s="5" t="str">
        <v>tag-closed-check</v>
      </c>
      <c r="C145" s="5" t="str">
        <v>aclnnForeachTanh.md</v>
      </c>
      <c r="D145" s="6" t="str">
        <f>=HYPERLINK("https://gitcode.com/caiwenwen/ops-nn/blob/master/foreach/foreach_tanh/docs/aclnnForeachTanh.md#L91-L91","https://gitcode.com/caiwenwen/ops-nn/blob/master/foreach/foreach_tanh/docs/aclnnForeachTanh.md#L91-L91")</f>
        <v>https://gitcode.com/caiwenwen/ops-nn/blob/master/foreach/foreach_tanh/docs/aclnnForeachTanh.md#L91-L91</v>
      </c>
      <c r="E145" s="5" t="str">
        <v>91</v>
      </c>
      <c r="F145" s="5" t="str">
        <v>Html 标签匹配失败：&lt;ul&gt;</v>
      </c>
      <c r="G145" s="5" t="str">
        <v>&lt;ul&gt;</v>
      </c>
    </row>
    <row r="146">
      <c r="A146" s="5">
        <v>145</v>
      </c>
      <c r="B146" s="5" t="str">
        <v>tag-closed-check</v>
      </c>
      <c r="C146" s="5" t="str">
        <v>aclnnForeachTanh.md</v>
      </c>
      <c r="D146" s="6" t="str">
        <f>=HYPERLINK("https://gitcode.com/caiwenwen/ops-nn/blob/master/foreach/foreach_tanh/docs/aclnnForeachTanh.md#L91-L91","https://gitcode.com/caiwenwen/ops-nn/blob/master/foreach/foreach_tanh/docs/aclnnForeachTanh.md#L91-L91")</f>
        <v>https://gitcode.com/caiwenwen/ops-nn/blob/master/foreach/foreach_tanh/docs/aclnnForeachTanh.md#L91-L91</v>
      </c>
      <c r="E146" s="5" t="str">
        <v>91</v>
      </c>
      <c r="F146" s="5" t="str">
        <v>Html 标签匹配失败：&lt;ul&gt;</v>
      </c>
      <c r="G146" s="5" t="str">
        <v>&lt;ul&gt;</v>
      </c>
    </row>
    <row r="147">
      <c r="A147" s="5">
        <v>146</v>
      </c>
      <c r="B147" s="5" t="str">
        <v>tag-closed-check</v>
      </c>
      <c r="C147" s="5" t="str">
        <v>aclnnForeachTan.md</v>
      </c>
      <c r="D147" s="6" t="str">
        <f>=HYPERLINK("https://gitcode.com/caiwenwen/ops-nn/blob/master/foreach/foreach_tan/docs/aclnnForeachTan.md#L91-L91","https://gitcode.com/caiwenwen/ops-nn/blob/master/foreach/foreach_tan/docs/aclnnForeachTan.md#L91-L91")</f>
        <v>https://gitcode.com/caiwenwen/ops-nn/blob/master/foreach/foreach_tan/docs/aclnnForeachTan.md#L91-L91</v>
      </c>
      <c r="E147" s="5" t="str">
        <v>91</v>
      </c>
      <c r="F147" s="5" t="str">
        <v>Html 标签匹配失败：&lt;ul&gt;</v>
      </c>
      <c r="G147" s="5" t="str">
        <v>&lt;ul&gt;</v>
      </c>
    </row>
    <row r="148">
      <c r="A148" s="5">
        <v>147</v>
      </c>
      <c r="B148" s="5" t="str">
        <v>tag-closed-check</v>
      </c>
      <c r="C148" s="5" t="str">
        <v>aclnnForeachTan.md</v>
      </c>
      <c r="D148" s="6" t="str">
        <f>=HYPERLINK("https://gitcode.com/caiwenwen/ops-nn/blob/master/foreach/foreach_tan/docs/aclnnForeachTan.md#L91-L91","https://gitcode.com/caiwenwen/ops-nn/blob/master/foreach/foreach_tan/docs/aclnnForeachTan.md#L91-L91")</f>
        <v>https://gitcode.com/caiwenwen/ops-nn/blob/master/foreach/foreach_tan/docs/aclnnForeachTan.md#L91-L91</v>
      </c>
      <c r="E148" s="5" t="str">
        <v>91</v>
      </c>
      <c r="F148" s="5" t="str">
        <v>Html 标签匹配失败：&lt;ul&gt;</v>
      </c>
      <c r="G148" s="5" t="str">
        <v>&lt;ul&gt;</v>
      </c>
    </row>
    <row r="149">
      <c r="A149" s="5">
        <v>148</v>
      </c>
      <c r="B149" s="5" t="str">
        <v>tag-closed-check</v>
      </c>
      <c r="C149" s="5" t="str">
        <v>aclnnForeachSubScalarList.md</v>
      </c>
      <c r="D149" s="6" t="str">
        <f>=HYPERLINK("https://gitcode.com/caiwenwen/ops-nn/blob/master/foreach/foreach_sub_scalar_list/docs/aclnnForeachSubScalarList.md#L94-L94","https://gitcode.com/caiwenwen/ops-nn/blob/master/foreach/foreach_sub_scalar_list/docs/aclnnForeachSubScalarList.md#L94-L94")</f>
        <v>https://gitcode.com/caiwenwen/ops-nn/blob/master/foreach/foreach_sub_scalar_list/docs/aclnnForeachSubScalarList.md#L94-L94</v>
      </c>
      <c r="E149" s="5" t="str">
        <v>94</v>
      </c>
      <c r="F149" s="5" t="str">
        <v>Html 标签匹配失败：&lt;li&gt;</v>
      </c>
      <c r="G149" s="5" t="str">
        <v>&lt;li&gt;</v>
      </c>
    </row>
    <row r="150">
      <c r="A150" s="5">
        <v>149</v>
      </c>
      <c r="B150" s="5" t="str">
        <v>tag-closed-check</v>
      </c>
      <c r="C150" s="5" t="str">
        <v>aclnnForeachSubScalarList.md</v>
      </c>
      <c r="D150" s="6" t="str">
        <f>=HYPERLINK("https://gitcode.com/caiwenwen/ops-nn/blob/master/foreach/foreach_sub_scalar_list/docs/aclnnForeachSubScalarList.md#L94-L94","https://gitcode.com/caiwenwen/ops-nn/blob/master/foreach/foreach_sub_scalar_list/docs/aclnnForeachSubScalarList.md#L94-L94")</f>
        <v>https://gitcode.com/caiwenwen/ops-nn/blob/master/foreach/foreach_sub_scalar_list/docs/aclnnForeachSubScalarList.md#L94-L94</v>
      </c>
      <c r="E150" s="5" t="str">
        <v>94</v>
      </c>
      <c r="F150" s="5" t="str">
        <v>Html 标签匹配失败：&lt;ul&gt;</v>
      </c>
      <c r="G150" s="5" t="str">
        <v>&lt;ul&gt;</v>
      </c>
    </row>
    <row r="151">
      <c r="A151" s="5">
        <v>150</v>
      </c>
      <c r="B151" s="5" t="str">
        <v>tag-closed-check</v>
      </c>
      <c r="C151" s="5" t="str">
        <v>aclnnForeachSubScalarList.md</v>
      </c>
      <c r="D151" s="6" t="str">
        <f>=HYPERLINK("https://gitcode.com/caiwenwen/ops-nn/blob/master/foreach/foreach_sub_scalar_list/docs/aclnnForeachSubScalarList.md#L104-L104","https://gitcode.com/caiwenwen/ops-nn/blob/master/foreach/foreach_sub_scalar_list/docs/aclnnForeachSubScalarList.md#L104-L104")</f>
        <v>https://gitcode.com/caiwenwen/ops-nn/blob/master/foreach/foreach_sub_scalar_list/docs/aclnnForeachSubScalarList.md#L104-L104</v>
      </c>
      <c r="E151" s="5" t="str">
        <v>104</v>
      </c>
      <c r="F151" s="5" t="str">
        <v>Html 标签匹配失败：&lt;ul&gt;</v>
      </c>
      <c r="G151" s="5" t="str">
        <v>&lt;ul&gt;</v>
      </c>
    </row>
    <row r="152">
      <c r="A152" s="5">
        <v>151</v>
      </c>
      <c r="B152" s="5" t="str">
        <v>tag-closed-check</v>
      </c>
      <c r="C152" s="5" t="str">
        <v>aclnnForeachSubScalarList.md</v>
      </c>
      <c r="D152" s="6" t="str">
        <f>=HYPERLINK("https://gitcode.com/caiwenwen/ops-nn/blob/master/foreach/foreach_sub_scalar_list/docs/aclnnForeachSubScalarList.md#L104-L104","https://gitcode.com/caiwenwen/ops-nn/blob/master/foreach/foreach_sub_scalar_list/docs/aclnnForeachSubScalarList.md#L104-L104")</f>
        <v>https://gitcode.com/caiwenwen/ops-nn/blob/master/foreach/foreach_sub_scalar_list/docs/aclnnForeachSubScalarList.md#L104-L104</v>
      </c>
      <c r="E152" s="5" t="str">
        <v>104</v>
      </c>
      <c r="F152" s="5" t="str">
        <v>Html 标签匹配失败：&lt;ul&gt;</v>
      </c>
      <c r="G152" s="5" t="str">
        <v>&lt;ul&gt;</v>
      </c>
    </row>
    <row r="153">
      <c r="A153" s="5">
        <v>152</v>
      </c>
      <c r="B153" s="5" t="str">
        <v>tag-closed-check</v>
      </c>
      <c r="C153" s="5" t="str">
        <v>aclnnForeachSubScalar.md</v>
      </c>
      <c r="D153" s="6" t="str">
        <f>=HYPERLINK("https://gitcode.com/caiwenwen/ops-nn/blob/master/foreach/foreach_sub_scalar/docs/aclnnForeachSubScalar.md#L93-L93","https://gitcode.com/caiwenwen/ops-nn/blob/master/foreach/foreach_sub_scalar/docs/aclnnForeachSubScalar.md#L93-L93")</f>
        <v>https://gitcode.com/caiwenwen/ops-nn/blob/master/foreach/foreach_sub_scalar/docs/aclnnForeachSubScalar.md#L93-L93</v>
      </c>
      <c r="E153" s="5" t="str">
        <v>93</v>
      </c>
      <c r="F153" s="5" t="str">
        <v>Html 标签匹配失败：&lt;li&gt;</v>
      </c>
      <c r="G153" s="5" t="str">
        <v>&lt;li&gt;</v>
      </c>
    </row>
    <row r="154">
      <c r="A154" s="5">
        <v>153</v>
      </c>
      <c r="B154" s="5" t="str">
        <v>tag-closed-check</v>
      </c>
      <c r="C154" s="5" t="str">
        <v>aclnnForeachSubScalar.md</v>
      </c>
      <c r="D154" s="6" t="str">
        <f>=HYPERLINK("https://gitcode.com/caiwenwen/ops-nn/blob/master/foreach/foreach_sub_scalar/docs/aclnnForeachSubScalar.md#L93-L93","https://gitcode.com/caiwenwen/ops-nn/blob/master/foreach/foreach_sub_scalar/docs/aclnnForeachSubScalar.md#L93-L93")</f>
        <v>https://gitcode.com/caiwenwen/ops-nn/blob/master/foreach/foreach_sub_scalar/docs/aclnnForeachSubScalar.md#L93-L93</v>
      </c>
      <c r="E154" s="5" t="str">
        <v>93</v>
      </c>
      <c r="F154" s="5" t="str">
        <v>Html 标签匹配失败：&lt;ul&gt;</v>
      </c>
      <c r="G154" s="5" t="str">
        <v>&lt;ul&gt;</v>
      </c>
    </row>
    <row r="155">
      <c r="A155" s="5">
        <v>154</v>
      </c>
      <c r="B155" s="5" t="str">
        <v>tag-closed-check</v>
      </c>
      <c r="C155" s="5" t="str">
        <v>aclnnForeachSubScalar.md</v>
      </c>
      <c r="D155" s="6" t="str">
        <f>=HYPERLINK("https://gitcode.com/caiwenwen/ops-nn/blob/master/foreach/foreach_sub_scalar/docs/aclnnForeachSubScalar.md#L103-L103","https://gitcode.com/caiwenwen/ops-nn/blob/master/foreach/foreach_sub_scalar/docs/aclnnForeachSubScalar.md#L103-L103")</f>
        <v>https://gitcode.com/caiwenwen/ops-nn/blob/master/foreach/foreach_sub_scalar/docs/aclnnForeachSubScalar.md#L103-L103</v>
      </c>
      <c r="E155" s="5" t="str">
        <v>103</v>
      </c>
      <c r="F155" s="5" t="str">
        <v>Html 标签匹配失败：&lt;ul&gt;</v>
      </c>
      <c r="G155" s="5" t="str">
        <v>&lt;ul&gt;</v>
      </c>
    </row>
    <row r="156">
      <c r="A156" s="5">
        <v>155</v>
      </c>
      <c r="B156" s="5" t="str">
        <v>tag-closed-check</v>
      </c>
      <c r="C156" s="5" t="str">
        <v>aclnnForeachSubScalar.md</v>
      </c>
      <c r="D156" s="6" t="str">
        <f>=HYPERLINK("https://gitcode.com/caiwenwen/ops-nn/blob/master/foreach/foreach_sub_scalar/docs/aclnnForeachSubScalar.md#L103-L103","https://gitcode.com/caiwenwen/ops-nn/blob/master/foreach/foreach_sub_scalar/docs/aclnnForeachSubScalar.md#L103-L103")</f>
        <v>https://gitcode.com/caiwenwen/ops-nn/blob/master/foreach/foreach_sub_scalar/docs/aclnnForeachSubScalar.md#L103-L103</v>
      </c>
      <c r="E156" s="5" t="str">
        <v>103</v>
      </c>
      <c r="F156" s="5" t="str">
        <v>Html 标签匹配失败：&lt;ul&gt;</v>
      </c>
      <c r="G156" s="5" t="str">
        <v>&lt;ul&gt;</v>
      </c>
    </row>
    <row r="157">
      <c r="A157" s="5">
        <v>156</v>
      </c>
      <c r="B157" s="5" t="str">
        <v>tag-closed-check</v>
      </c>
      <c r="C157" s="5" t="str">
        <v>aclnnForeachSubScalar.md</v>
      </c>
      <c r="D157" s="6" t="str">
        <f>=HYPERLINK("https://gitcode.com/caiwenwen/ops-nn/blob/master/foreach/foreach_sub_scalar/docs/aclnnForeachSubScalar.md#L174-L174","https://gitcode.com/caiwenwen/ops-nn/blob/master/foreach/foreach_sub_scalar/docs/aclnnForeachSubScalar.md#L174-L174")</f>
        <v>https://gitcode.com/caiwenwen/ops-nn/blob/master/foreach/foreach_sub_scalar/docs/aclnnForeachSubScalar.md#L174-L174</v>
      </c>
      <c r="E157" s="5" t="str">
        <v>174</v>
      </c>
      <c r="F157" s="5" t="str">
        <v>Html 标签匹配失败：&lt;/tr&gt;</v>
      </c>
      <c r="G157" s="5" t="str">
        <v>&lt;/tr&gt;</v>
      </c>
    </row>
    <row r="158">
      <c r="A158" s="5">
        <v>157</v>
      </c>
      <c r="B158" s="5" t="str">
        <v>tag-closed-check</v>
      </c>
      <c r="C158" s="5" t="str">
        <v>aclnnForeachSubList.md</v>
      </c>
      <c r="D158" s="6" t="str">
        <f>=HYPERLINK("https://gitcode.com/caiwenwen/ops-nn/blob/master/foreach/foreach_sub_list/docs/aclnnForeachSubList.md#L115-L115","https://gitcode.com/caiwenwen/ops-nn/blob/master/foreach/foreach_sub_list/docs/aclnnForeachSubList.md#L115-L115")</f>
        <v>https://gitcode.com/caiwenwen/ops-nn/blob/master/foreach/foreach_sub_list/docs/aclnnForeachSubList.md#L115-L115</v>
      </c>
      <c r="E158" s="5" t="str">
        <v>115</v>
      </c>
      <c r="F158" s="5" t="str">
        <v>Html 标签匹配失败：&lt;ul&gt;</v>
      </c>
      <c r="G158" s="5" t="str">
        <v>&lt;ul&gt;</v>
      </c>
    </row>
    <row r="159">
      <c r="A159" s="5">
        <v>158</v>
      </c>
      <c r="B159" s="5" t="str">
        <v>tag-closed-check</v>
      </c>
      <c r="C159" s="5" t="str">
        <v>aclnnForeachSubList.md</v>
      </c>
      <c r="D159" s="6" t="str">
        <f>=HYPERLINK("https://gitcode.com/caiwenwen/ops-nn/blob/master/foreach/foreach_sub_list/docs/aclnnForeachSubList.md#L115-L115","https://gitcode.com/caiwenwen/ops-nn/blob/master/foreach/foreach_sub_list/docs/aclnnForeachSubList.md#L115-L115")</f>
        <v>https://gitcode.com/caiwenwen/ops-nn/blob/master/foreach/foreach_sub_list/docs/aclnnForeachSubList.md#L115-L115</v>
      </c>
      <c r="E159" s="5" t="str">
        <v>115</v>
      </c>
      <c r="F159" s="5" t="str">
        <v>Html 标签匹配失败：&lt;ul&gt;</v>
      </c>
      <c r="G159" s="5" t="str">
        <v>&lt;ul&gt;</v>
      </c>
    </row>
    <row r="160">
      <c r="A160" s="5">
        <v>159</v>
      </c>
      <c r="B160" s="5" t="str">
        <v>tag-closed-check</v>
      </c>
      <c r="C160" s="5" t="str">
        <v>aclnnForeachSubList.md</v>
      </c>
      <c r="D160" s="6" t="str">
        <f>=HYPERLINK("https://gitcode.com/caiwenwen/ops-nn/blob/master/foreach/foreach_sub_list/docs/aclnnForeachSubList.md#L187-L187","https://gitcode.com/caiwenwen/ops-nn/blob/master/foreach/foreach_sub_list/docs/aclnnForeachSubList.md#L187-L187")</f>
        <v>https://gitcode.com/caiwenwen/ops-nn/blob/master/foreach/foreach_sub_list/docs/aclnnForeachSubList.md#L187-L187</v>
      </c>
      <c r="E160" s="5" t="str">
        <v>187</v>
      </c>
      <c r="F160" s="5" t="str">
        <v>Html 标签匹配失败：&lt;/tr&gt;</v>
      </c>
      <c r="G160" s="5" t="str">
        <v>&lt;/tr&gt;</v>
      </c>
    </row>
    <row r="161">
      <c r="A161" s="5">
        <v>160</v>
      </c>
      <c r="B161" s="5" t="str">
        <v>tag-closed-check</v>
      </c>
      <c r="C161" s="5" t="str">
        <v>aclnnForeachSqrt.md</v>
      </c>
      <c r="D161" s="6" t="str">
        <f>=HYPERLINK("https://gitcode.com/caiwenwen/ops-nn/blob/master/foreach/foreach_sqrt/docs/aclnnForeachSqrt.md#L90-L90","https://gitcode.com/caiwenwen/ops-nn/blob/master/foreach/foreach_sqrt/docs/aclnnForeachSqrt.md#L90-L90")</f>
        <v>https://gitcode.com/caiwenwen/ops-nn/blob/master/foreach/foreach_sqrt/docs/aclnnForeachSqrt.md#L90-L90</v>
      </c>
      <c r="E161" s="5" t="str">
        <v>90</v>
      </c>
      <c r="F161" s="5" t="str">
        <v>Html 标签匹配失败：&lt;ul&gt;</v>
      </c>
      <c r="G161" s="5" t="str">
        <v>&lt;ul&gt;</v>
      </c>
    </row>
    <row r="162">
      <c r="A162" s="5">
        <v>161</v>
      </c>
      <c r="B162" s="5" t="str">
        <v>tag-closed-check</v>
      </c>
      <c r="C162" s="5" t="str">
        <v>aclnnForeachSqrt.md</v>
      </c>
      <c r="D162" s="6" t="str">
        <f>=HYPERLINK("https://gitcode.com/caiwenwen/ops-nn/blob/master/foreach/foreach_sqrt/docs/aclnnForeachSqrt.md#L90-L90","https://gitcode.com/caiwenwen/ops-nn/blob/master/foreach/foreach_sqrt/docs/aclnnForeachSqrt.md#L90-L90")</f>
        <v>https://gitcode.com/caiwenwen/ops-nn/blob/master/foreach/foreach_sqrt/docs/aclnnForeachSqrt.md#L90-L90</v>
      </c>
      <c r="E162" s="5" t="str">
        <v>90</v>
      </c>
      <c r="F162" s="5" t="str">
        <v>Html 标签匹配失败：&lt;ul&gt;</v>
      </c>
      <c r="G162" s="5" t="str">
        <v>&lt;ul&gt;</v>
      </c>
    </row>
    <row r="163">
      <c r="A163" s="5">
        <v>162</v>
      </c>
      <c r="B163" s="5" t="str">
        <v>tag-closed-check</v>
      </c>
      <c r="C163" s="5" t="str">
        <v>aclnnForeachSqrt.md</v>
      </c>
      <c r="D163" s="6" t="str">
        <f>=HYPERLINK("https://gitcode.com/caiwenwen/ops-nn/blob/master/foreach/foreach_sqrt/docs/aclnnForeachSqrt.md#L162-L162","https://gitcode.com/caiwenwen/ops-nn/blob/master/foreach/foreach_sqrt/docs/aclnnForeachSqrt.md#L162-L162")</f>
        <v>https://gitcode.com/caiwenwen/ops-nn/blob/master/foreach/foreach_sqrt/docs/aclnnForeachSqrt.md#L162-L162</v>
      </c>
      <c r="E163" s="5" t="str">
        <v>162</v>
      </c>
      <c r="F163" s="5" t="str">
        <v>Html 标签匹配失败：&lt;/tr&gt;</v>
      </c>
      <c r="G163" s="5" t="str">
        <v>&lt;/tr&gt;</v>
      </c>
    </row>
    <row r="164">
      <c r="A164" s="5">
        <v>163</v>
      </c>
      <c r="B164" s="5" t="str">
        <v>tag-closed-check</v>
      </c>
      <c r="C164" s="5" t="str">
        <v>aclnnForeachSin.md</v>
      </c>
      <c r="D164" s="6" t="str">
        <f>=HYPERLINK("https://gitcode.com/caiwenwen/ops-nn/blob/master/foreach/foreach_sin/docs/aclnnForeachSin.md#L97-L97","https://gitcode.com/caiwenwen/ops-nn/blob/master/foreach/foreach_sin/docs/aclnnForeachSin.md#L97-L97")</f>
        <v>https://gitcode.com/caiwenwen/ops-nn/blob/master/foreach/foreach_sin/docs/aclnnForeachSin.md#L97-L97</v>
      </c>
      <c r="E164" s="5" t="str">
        <v>97</v>
      </c>
      <c r="F164" s="5" t="str">
        <v>Html 标签匹配失败：&lt;ul&gt;</v>
      </c>
      <c r="G164" s="5" t="str">
        <v>&lt;ul&gt;</v>
      </c>
    </row>
    <row r="165">
      <c r="A165" s="5">
        <v>164</v>
      </c>
      <c r="B165" s="5" t="str">
        <v>tag-closed-check</v>
      </c>
      <c r="C165" s="5" t="str">
        <v>aclnnForeachSin.md</v>
      </c>
      <c r="D165" s="6" t="str">
        <f>=HYPERLINK("https://gitcode.com/caiwenwen/ops-nn/blob/master/foreach/foreach_sin/docs/aclnnForeachSin.md#L97-L97","https://gitcode.com/caiwenwen/ops-nn/blob/master/foreach/foreach_sin/docs/aclnnForeachSin.md#L97-L97")</f>
        <v>https://gitcode.com/caiwenwen/ops-nn/blob/master/foreach/foreach_sin/docs/aclnnForeachSin.md#L97-L97</v>
      </c>
      <c r="E165" s="5" t="str">
        <v>97</v>
      </c>
      <c r="F165" s="5" t="str">
        <v>Html 标签匹配失败：&lt;ul&gt;</v>
      </c>
      <c r="G165" s="5" t="str">
        <v>&lt;ul&gt;</v>
      </c>
    </row>
    <row r="166">
      <c r="A166" s="5">
        <v>165</v>
      </c>
      <c r="B166" s="5" t="str">
        <v>tag-closed-check</v>
      </c>
      <c r="C166" s="5" t="str">
        <v>aclnnForeachSin.md</v>
      </c>
      <c r="D166" s="6" t="str">
        <f>=HYPERLINK("https://gitcode.com/caiwenwen/ops-nn/blob/master/foreach/foreach_sin/docs/aclnnForeachSin.md#L166-L166","https://gitcode.com/caiwenwen/ops-nn/blob/master/foreach/foreach_sin/docs/aclnnForeachSin.md#L166-L166")</f>
        <v>https://gitcode.com/caiwenwen/ops-nn/blob/master/foreach/foreach_sin/docs/aclnnForeachSin.md#L166-L166</v>
      </c>
      <c r="E166" s="5" t="str">
        <v>166</v>
      </c>
      <c r="F166" s="5" t="str">
        <v>Html 标签匹配失败：&lt;/tr&gt;</v>
      </c>
      <c r="G166" s="5" t="str">
        <v>&lt;/tr&gt;</v>
      </c>
    </row>
    <row r="167">
      <c r="A167" s="5">
        <v>166</v>
      </c>
      <c r="B167" s="5" t="str">
        <v>tag-closed-check</v>
      </c>
      <c r="C167" s="5" t="str">
        <v>aclnnForeachSinh.md</v>
      </c>
      <c r="D167" s="6" t="str">
        <f>=HYPERLINK("https://gitcode.com/caiwenwen/ops-nn/blob/master/foreach/foreach_sinh/docs/aclnnForeachSinh.md#L91-L91","https://gitcode.com/caiwenwen/ops-nn/blob/master/foreach/foreach_sinh/docs/aclnnForeachSinh.md#L91-L91")</f>
        <v>https://gitcode.com/caiwenwen/ops-nn/blob/master/foreach/foreach_sinh/docs/aclnnForeachSinh.md#L91-L91</v>
      </c>
      <c r="E167" s="5" t="str">
        <v>91</v>
      </c>
      <c r="F167" s="5" t="str">
        <v>Html 标签匹配失败：&lt;ul&gt;</v>
      </c>
      <c r="G167" s="5" t="str">
        <v>&lt;ul&gt;</v>
      </c>
    </row>
    <row r="168">
      <c r="A168" s="5">
        <v>167</v>
      </c>
      <c r="B168" s="5" t="str">
        <v>tag-closed-check</v>
      </c>
      <c r="C168" s="5" t="str">
        <v>aclnnForeachSinh.md</v>
      </c>
      <c r="D168" s="6" t="str">
        <f>=HYPERLINK("https://gitcode.com/caiwenwen/ops-nn/blob/master/foreach/foreach_sinh/docs/aclnnForeachSinh.md#L91-L91","https://gitcode.com/caiwenwen/ops-nn/blob/master/foreach/foreach_sinh/docs/aclnnForeachSinh.md#L91-L91")</f>
        <v>https://gitcode.com/caiwenwen/ops-nn/blob/master/foreach/foreach_sinh/docs/aclnnForeachSinh.md#L91-L91</v>
      </c>
      <c r="E168" s="5" t="str">
        <v>91</v>
      </c>
      <c r="F168" s="5" t="str">
        <v>Html 标签匹配失败：&lt;ul&gt;</v>
      </c>
      <c r="G168" s="5" t="str">
        <v>&lt;ul&gt;</v>
      </c>
    </row>
    <row r="169">
      <c r="A169" s="5">
        <v>168</v>
      </c>
      <c r="B169" s="5" t="str">
        <v>tag-closed-check</v>
      </c>
      <c r="C169" s="5" t="str">
        <v>aclnnForeachSinh.md</v>
      </c>
      <c r="D169" s="6" t="str">
        <f>=HYPERLINK("https://gitcode.com/caiwenwen/ops-nn/blob/master/foreach/foreach_sinh/docs/aclnnForeachSinh.md#L160-L160","https://gitcode.com/caiwenwen/ops-nn/blob/master/foreach/foreach_sinh/docs/aclnnForeachSinh.md#L160-L160")</f>
        <v>https://gitcode.com/caiwenwen/ops-nn/blob/master/foreach/foreach_sinh/docs/aclnnForeachSinh.md#L160-L160</v>
      </c>
      <c r="E169" s="5" t="str">
        <v>160</v>
      </c>
      <c r="F169" s="5" t="str">
        <v>Html 标签匹配失败：&lt;/tr&gt;</v>
      </c>
      <c r="G169" s="5" t="str">
        <v>&lt;/tr&gt;</v>
      </c>
    </row>
    <row r="170">
      <c r="A170" s="5">
        <v>169</v>
      </c>
      <c r="B170" s="5" t="str">
        <v>tag-closed-check</v>
      </c>
      <c r="C170" s="5" t="str">
        <v>aclnnForeachSign.md</v>
      </c>
      <c r="D170" s="6" t="str">
        <f>=HYPERLINK("https://gitcode.com/caiwenwen/ops-nn/blob/master/foreach/foreach_sign/docs/aclnnForeachSign.md#L97-L97","https://gitcode.com/caiwenwen/ops-nn/blob/master/foreach/foreach_sign/docs/aclnnForeachSign.md#L97-L97")</f>
        <v>https://gitcode.com/caiwenwen/ops-nn/blob/master/foreach/foreach_sign/docs/aclnnForeachSign.md#L97-L97</v>
      </c>
      <c r="E170" s="5" t="str">
        <v>97</v>
      </c>
      <c r="F170" s="5" t="str">
        <v>Html 标签匹配失败：&lt;ul&gt;</v>
      </c>
      <c r="G170" s="5" t="str">
        <v>&lt;ul&gt;</v>
      </c>
    </row>
    <row r="171">
      <c r="A171" s="5">
        <v>170</v>
      </c>
      <c r="B171" s="5" t="str">
        <v>tag-closed-check</v>
      </c>
      <c r="C171" s="5" t="str">
        <v>aclnnForeachSign.md</v>
      </c>
      <c r="D171" s="6" t="str">
        <f>=HYPERLINK("https://gitcode.com/caiwenwen/ops-nn/blob/master/foreach/foreach_sign/docs/aclnnForeachSign.md#L97-L97","https://gitcode.com/caiwenwen/ops-nn/blob/master/foreach/foreach_sign/docs/aclnnForeachSign.md#L97-L97")</f>
        <v>https://gitcode.com/caiwenwen/ops-nn/blob/master/foreach/foreach_sign/docs/aclnnForeachSign.md#L97-L97</v>
      </c>
      <c r="E171" s="5" t="str">
        <v>97</v>
      </c>
      <c r="F171" s="5" t="str">
        <v>Html 标签匹配失败：&lt;ul&gt;</v>
      </c>
      <c r="G171" s="5" t="str">
        <v>&lt;ul&gt;</v>
      </c>
    </row>
    <row r="172">
      <c r="A172" s="5">
        <v>171</v>
      </c>
      <c r="B172" s="5" t="str">
        <v>tag-closed-check</v>
      </c>
      <c r="C172" s="5" t="str">
        <v>aclnnForeachSign.md</v>
      </c>
      <c r="D172" s="6" t="str">
        <f>=HYPERLINK("https://gitcode.com/caiwenwen/ops-nn/blob/master/foreach/foreach_sign/docs/aclnnForeachSign.md#L165-L165","https://gitcode.com/caiwenwen/ops-nn/blob/master/foreach/foreach_sign/docs/aclnnForeachSign.md#L165-L165")</f>
        <v>https://gitcode.com/caiwenwen/ops-nn/blob/master/foreach/foreach_sign/docs/aclnnForeachSign.md#L165-L165</v>
      </c>
      <c r="E172" s="5" t="str">
        <v>165</v>
      </c>
      <c r="F172" s="5" t="str">
        <v>Html 标签匹配失败：&lt;/tr&gt;</v>
      </c>
      <c r="G172" s="5" t="str">
        <v>&lt;/tr&gt;</v>
      </c>
    </row>
    <row r="173">
      <c r="A173" s="5">
        <v>172</v>
      </c>
      <c r="B173" s="5" t="str">
        <v>tag-closed-check</v>
      </c>
      <c r="C173" s="5" t="str">
        <v>aclnnForeachSigmoid.md</v>
      </c>
      <c r="D173" s="6" t="str">
        <f>=HYPERLINK("https://gitcode.com/caiwenwen/ops-nn/blob/master/foreach/foreach_sigmoid/docs/aclnnForeachSigmoid.md#L91-L91","https://gitcode.com/caiwenwen/ops-nn/blob/master/foreach/foreach_sigmoid/docs/aclnnForeachSigmoid.md#L91-L91")</f>
        <v>https://gitcode.com/caiwenwen/ops-nn/blob/master/foreach/foreach_sigmoid/docs/aclnnForeachSigmoid.md#L91-L91</v>
      </c>
      <c r="E173" s="5" t="str">
        <v>91</v>
      </c>
      <c r="F173" s="5" t="str">
        <v>Html 标签匹配失败：&lt;ul&gt;</v>
      </c>
      <c r="G173" s="5" t="str">
        <v>&lt;ul&gt;</v>
      </c>
    </row>
    <row r="174">
      <c r="A174" s="5">
        <v>173</v>
      </c>
      <c r="B174" s="5" t="str">
        <v>tag-closed-check</v>
      </c>
      <c r="C174" s="5" t="str">
        <v>aclnnForeachSigmoid.md</v>
      </c>
      <c r="D174" s="6" t="str">
        <f>=HYPERLINK("https://gitcode.com/caiwenwen/ops-nn/blob/master/foreach/foreach_sigmoid/docs/aclnnForeachSigmoid.md#L91-L91","https://gitcode.com/caiwenwen/ops-nn/blob/master/foreach/foreach_sigmoid/docs/aclnnForeachSigmoid.md#L91-L91")</f>
        <v>https://gitcode.com/caiwenwen/ops-nn/blob/master/foreach/foreach_sigmoid/docs/aclnnForeachSigmoid.md#L91-L91</v>
      </c>
      <c r="E174" s="5" t="str">
        <v>91</v>
      </c>
      <c r="F174" s="5" t="str">
        <v>Html 标签匹配失败：&lt;ul&gt;</v>
      </c>
      <c r="G174" s="5" t="str">
        <v>&lt;ul&gt;</v>
      </c>
    </row>
    <row r="175">
      <c r="A175" s="5">
        <v>174</v>
      </c>
      <c r="B175" s="5" t="str">
        <v>tag-closed-check</v>
      </c>
      <c r="C175" s="5" t="str">
        <v>aclnnForeachSigmoid.md</v>
      </c>
      <c r="D175" s="6" t="str">
        <f>=HYPERLINK("https://gitcode.com/caiwenwen/ops-nn/blob/master/foreach/foreach_sigmoid/docs/aclnnForeachSigmoid.md#L160-L160","https://gitcode.com/caiwenwen/ops-nn/blob/master/foreach/foreach_sigmoid/docs/aclnnForeachSigmoid.md#L160-L160")</f>
        <v>https://gitcode.com/caiwenwen/ops-nn/blob/master/foreach/foreach_sigmoid/docs/aclnnForeachSigmoid.md#L160-L160</v>
      </c>
      <c r="E175" s="5" t="str">
        <v>160</v>
      </c>
      <c r="F175" s="5" t="str">
        <v>Html 标签匹配失败：&lt;/tr&gt;</v>
      </c>
      <c r="G175" s="5" t="str">
        <v>&lt;/tr&gt;</v>
      </c>
    </row>
    <row r="176">
      <c r="A176" s="5">
        <v>175</v>
      </c>
      <c r="B176" s="5" t="str">
        <v>tag-closed-check</v>
      </c>
      <c r="C176" s="5" t="str">
        <v>aclnnForeachPowScalarV2.md</v>
      </c>
      <c r="D176" s="6" t="str">
        <f>=HYPERLINK("https://gitcode.com/caiwenwen/ops-nn/blob/master/foreach/foreach_pow_scalar/docs/aclnnForeachPowScalarV2.md#L81-L81","https://gitcode.com/caiwenwen/ops-nn/blob/master/foreach/foreach_pow_scalar/docs/aclnnForeachPowScalarV2.md#L81-L81")</f>
        <v>https://gitcode.com/caiwenwen/ops-nn/blob/master/foreach/foreach_pow_scalar/docs/aclnnForeachPowScalarV2.md#L81-L81</v>
      </c>
      <c r="E176" s="5" t="str">
        <v>81</v>
      </c>
      <c r="F176" s="5" t="str">
        <v>Html 标签匹配失败：&lt;li&gt;</v>
      </c>
      <c r="G176" s="5" t="str">
        <v>&lt;li&gt;</v>
      </c>
    </row>
    <row r="177">
      <c r="A177" s="5">
        <v>176</v>
      </c>
      <c r="B177" s="5" t="str">
        <v>tag-closed-check</v>
      </c>
      <c r="C177" s="5" t="str">
        <v>aclnnForeachMinimumScalarV2.md</v>
      </c>
      <c r="D177" s="6" t="str">
        <f>=HYPERLINK("https://gitcode.com/caiwenwen/ops-nn/blob/master/foreach/foreach_minimum_scalar/docs/aclnnForeachMinimumScalarV2.md#L92-L92","https://gitcode.com/caiwenwen/ops-nn/blob/master/foreach/foreach_minimum_scalar/docs/aclnnForeachMinimumScalarV2.md#L92-L92")</f>
        <v>https://gitcode.com/caiwenwen/ops-nn/blob/master/foreach/foreach_minimum_scalar/docs/aclnnForeachMinimumScalarV2.md#L92-L92</v>
      </c>
      <c r="E177" s="5" t="str">
        <v>92</v>
      </c>
      <c r="F177" s="5" t="str">
        <v>Html 标签匹配失败：&lt;/li&gt;</v>
      </c>
      <c r="G177" s="5" t="str">
        <v>&lt;/li&gt;</v>
      </c>
    </row>
    <row r="178">
      <c r="A178" s="5">
        <v>177</v>
      </c>
      <c r="B178" s="5" t="str">
        <v>tag-closed-check</v>
      </c>
      <c r="C178" s="5" t="str">
        <v>aclnnForeachMaximumScalarV2.md</v>
      </c>
      <c r="D178" s="6" t="str">
        <f>=HYPERLINK("https://gitcode.com/caiwenwen/ops-nn/blob/master/foreach/foreach_maximum_scalar/docs/aclnnForeachMaximumScalarV2.md#L104-L104","https://gitcode.com/caiwenwen/ops-nn/blob/master/foreach/foreach_maximum_scalar/docs/aclnnForeachMaximumScalarV2.md#L104-L104")</f>
        <v>https://gitcode.com/caiwenwen/ops-nn/blob/master/foreach/foreach_maximum_scalar/docs/aclnnForeachMaximumScalarV2.md#L104-L104</v>
      </c>
      <c r="E178" s="5" t="str">
        <v>104</v>
      </c>
      <c r="F178" s="5" t="str">
        <v>Html 标签匹配失败：&lt;ul&gt;</v>
      </c>
      <c r="G178" s="5" t="str">
        <v>&lt;ul&gt;</v>
      </c>
    </row>
    <row r="179">
      <c r="A179" s="5">
        <v>178</v>
      </c>
      <c r="B179" s="5" t="str">
        <v>tag-closed-check</v>
      </c>
      <c r="C179" s="5" t="str">
        <v>aclnnForeachMaximumScalarV2.md</v>
      </c>
      <c r="D179" s="6" t="str">
        <f>=HYPERLINK("https://gitcode.com/caiwenwen/ops-nn/blob/master/foreach/foreach_maximum_scalar/docs/aclnnForeachMaximumScalarV2.md#L104-L104","https://gitcode.com/caiwenwen/ops-nn/blob/master/foreach/foreach_maximum_scalar/docs/aclnnForeachMaximumScalarV2.md#L104-L104")</f>
        <v>https://gitcode.com/caiwenwen/ops-nn/blob/master/foreach/foreach_maximum_scalar/docs/aclnnForeachMaximumScalarV2.md#L104-L104</v>
      </c>
      <c r="E179" s="5" t="str">
        <v>104</v>
      </c>
      <c r="F179" s="5" t="str">
        <v>Html 标签匹配失败：&lt;ul&gt;</v>
      </c>
      <c r="G179" s="5" t="str">
        <v>&lt;ul&gt;</v>
      </c>
    </row>
    <row r="180">
      <c r="A180" s="5">
        <v>179</v>
      </c>
      <c r="B180" s="5" t="str">
        <v>tag-closed-check</v>
      </c>
      <c r="C180" s="5" t="str">
        <v>aclnnForeachAddScalarV2.md</v>
      </c>
      <c r="D180" s="6" t="str">
        <f>=HYPERLINK("https://gitcode.com/caiwenwen/ops-nn/blob/master/foreach/foreach_add_scalar/docs/aclnnForeachAddScalarV2.md#L178-L178","https://gitcode.com/caiwenwen/ops-nn/blob/master/foreach/foreach_add_scalar/docs/aclnnForeachAddScalarV2.md#L178-L178")</f>
        <v>https://gitcode.com/caiwenwen/ops-nn/blob/master/foreach/foreach_add_scalar/docs/aclnnForeachAddScalarV2.md#L178-L178</v>
      </c>
      <c r="E180" s="5" t="str">
        <v>178</v>
      </c>
      <c r="F180" s="5" t="str">
        <v>Html 标签匹配失败：&lt;td&gt;</v>
      </c>
      <c r="G180" s="5" t="str">
        <v>&lt;td&gt;</v>
      </c>
    </row>
    <row r="181">
      <c r="A181" s="5">
        <v>180</v>
      </c>
      <c r="B181" s="5" t="str">
        <v>tag-closed-check</v>
      </c>
      <c r="C181" s="5" t="str">
        <v>aclnnForeachAddScalarV2.md</v>
      </c>
      <c r="D181" s="6" t="str">
        <f>=HYPERLINK("https://gitcode.com/caiwenwen/ops-nn/blob/master/foreach/foreach_add_scalar/docs/aclnnForeachAddScalarV2.md#L183-L183","https://gitcode.com/caiwenwen/ops-nn/blob/master/foreach/foreach_add_scalar/docs/aclnnForeachAddScalarV2.md#L183-L183")</f>
        <v>https://gitcode.com/caiwenwen/ops-nn/blob/master/foreach/foreach_add_scalar/docs/aclnnForeachAddScalarV2.md#L183-L183</v>
      </c>
      <c r="E181" s="5" t="str">
        <v>183</v>
      </c>
      <c r="F181" s="5" t="str">
        <v>Html 标签匹配失败：&lt;td&gt;</v>
      </c>
      <c r="G181" s="5" t="str">
        <v>&lt;td&gt;</v>
      </c>
    </row>
    <row r="182">
      <c r="A182" s="5">
        <v>181</v>
      </c>
      <c r="B182" s="5" t="str">
        <v>tag-closed-check</v>
      </c>
      <c r="C182" s="5" t="str">
        <v>aclnnForeachAddScalarV2.md</v>
      </c>
      <c r="D182" s="6" t="str">
        <f>=HYPERLINK("https://gitcode.com/caiwenwen/ops-nn/blob/master/foreach/foreach_add_scalar/docs/aclnnForeachAddScalarV2.md#L186-L186","https://gitcode.com/caiwenwen/ops-nn/blob/master/foreach/foreach_add_scalar/docs/aclnnForeachAddScalarV2.md#L186-L186")</f>
        <v>https://gitcode.com/caiwenwen/ops-nn/blob/master/foreach/foreach_add_scalar/docs/aclnnForeachAddScalarV2.md#L186-L186</v>
      </c>
      <c r="E182" s="5" t="str">
        <v>186</v>
      </c>
      <c r="F182" s="5" t="str">
        <v>Html 标签匹配失败：&lt;td&gt;</v>
      </c>
      <c r="G182" s="5" t="str">
        <v>&lt;td&gt;</v>
      </c>
    </row>
    <row r="183">
      <c r="A183" s="5">
        <v>182</v>
      </c>
      <c r="B183" s="5" t="str">
        <v>tag-closed-check</v>
      </c>
      <c r="C183" s="5" t="str">
        <v>aclnnForeachAddScalarV2.md</v>
      </c>
      <c r="D183" s="6" t="str">
        <f>=HYPERLINK("https://gitcode.com/caiwenwen/ops-nn/blob/master/foreach/foreach_add_scalar/docs/aclnnForeachAddScalarV2.md#L181-L181","https://gitcode.com/caiwenwen/ops-nn/blob/master/foreach/foreach_add_scalar/docs/aclnnForeachAddScalarV2.md#L181-L181")</f>
        <v>https://gitcode.com/caiwenwen/ops-nn/blob/master/foreach/foreach_add_scalar/docs/aclnnForeachAddScalarV2.md#L181-L181</v>
      </c>
      <c r="E183" s="5" t="str">
        <v>181</v>
      </c>
      <c r="F183" s="5" t="str">
        <v>Html 标签匹配失败：&lt;td&gt;</v>
      </c>
      <c r="G183" s="5" t="str">
        <v>&lt;td&gt;</v>
      </c>
    </row>
    <row r="184">
      <c r="A184" s="5">
        <v>183</v>
      </c>
      <c r="B184" s="5" t="str">
        <v>tag-closed-check</v>
      </c>
      <c r="C184" s="5" t="str">
        <v>aclnnForeachAddcmulScalarV2.md</v>
      </c>
      <c r="D184" s="6" t="str">
        <f>=HYPERLINK("https://gitcode.com/caiwenwen/ops-nn/blob/master/foreach/foreach_addcmul_scalar/docs/aclnnForeachAddcmulScalarV2.md#L114-L114","https://gitcode.com/caiwenwen/ops-nn/blob/master/foreach/foreach_addcmul_scalar/docs/aclnnForeachAddcmulScalarV2.md#L114-L114")</f>
        <v>https://gitcode.com/caiwenwen/ops-nn/blob/master/foreach/foreach_addcmul_scalar/docs/aclnnForeachAddcmulScalarV2.md#L114-L114</v>
      </c>
      <c r="E184" s="5" t="str">
        <v>114</v>
      </c>
      <c r="F184" s="5" t="str">
        <v>Html 标签匹配失败：&lt;/li&gt;</v>
      </c>
      <c r="G184" s="5" t="str">
        <v>&lt;/li&gt;</v>
      </c>
    </row>
    <row r="185">
      <c r="A185" s="5">
        <v>184</v>
      </c>
      <c r="B185" s="5" t="str">
        <v>tag-closed-check</v>
      </c>
      <c r="C185" s="5" t="str">
        <v>aclnnForeachAddcmulScalarV2.md</v>
      </c>
      <c r="D185" s="6" t="str">
        <f>=HYPERLINK("https://gitcode.com/caiwenwen/ops-nn/blob/master/foreach/foreach_addcmul_scalar/docs/aclnnForeachAddcmulScalarV2.md#L114-L114","https://gitcode.com/caiwenwen/ops-nn/blob/master/foreach/foreach_addcmul_scalar/docs/aclnnForeachAddcmulScalarV2.md#L114-L114")</f>
        <v>https://gitcode.com/caiwenwen/ops-nn/blob/master/foreach/foreach_addcmul_scalar/docs/aclnnForeachAddcmulScalarV2.md#L114-L114</v>
      </c>
      <c r="E185" s="5" t="str">
        <v>114</v>
      </c>
      <c r="F185" s="5" t="str">
        <v>Html 标签匹配失败：&lt;/ul&gt;</v>
      </c>
      <c r="G185" s="5" t="str">
        <v>&lt;/ul&gt;</v>
      </c>
    </row>
    <row r="186">
      <c r="A186" s="5">
        <v>185</v>
      </c>
      <c r="B186" s="5" t="str">
        <v>tag-closed-check</v>
      </c>
      <c r="C186" s="5" t="str">
        <v>README.md</v>
      </c>
      <c r="D186" s="6" t="str">
        <f>=HYPERLINK("https://gitcode.com/caiwenwen/ops-nn/blob/master/experimental/matmul/matmul_fp32/README.md#L60-L60","https://gitcode.com/caiwenwen/ops-nn/blob/master/experimental/matmul/matmul_fp32/README.md#L60-L60")</f>
        <v>https://gitcode.com/caiwenwen/ops-nn/blob/master/experimental/matmul/matmul_fp32/README.md#L60-L60</v>
      </c>
      <c r="E186" s="5" t="str">
        <v>60</v>
      </c>
      <c r="F186" s="5" t="str">
        <v>Html 标签匹配失败：&lt;/tr&gt;</v>
      </c>
      <c r="G186" s="5" t="str">
        <v>&lt;/tr&gt;</v>
      </c>
    </row>
    <row r="187">
      <c r="A187" s="5">
        <v>186</v>
      </c>
      <c r="B187" s="5" t="str">
        <v>tag-closed-check</v>
      </c>
      <c r="C187" s="5" t="str">
        <v>README.md</v>
      </c>
      <c r="D187" s="6" t="str">
        <f>=HYPERLINK("https://gitcode.com/caiwenwen/ops-nn/blob/master/experimental/matmul/matmul_fp32/README.md#L65-L65","https://gitcode.com/caiwenwen/ops-nn/blob/master/experimental/matmul/matmul_fp32/README.md#L65-L65")</f>
        <v>https://gitcode.com/caiwenwen/ops-nn/blob/master/experimental/matmul/matmul_fp32/README.md#L65-L65</v>
      </c>
      <c r="E187" s="5" t="str">
        <v>65</v>
      </c>
      <c r="F187" s="5" t="str">
        <v>Html 标签匹配失败：&lt;/tr&gt;</v>
      </c>
      <c r="G187" s="5" t="str">
        <v>&lt;/tr&gt;</v>
      </c>
    </row>
    <row r="188">
      <c r="A188" s="5">
        <v>187</v>
      </c>
      <c r="B188" s="5" t="str">
        <v>tag-closed-check</v>
      </c>
      <c r="C188" s="5" t="str">
        <v>README.md</v>
      </c>
      <c r="D188" s="6" t="str">
        <f>=HYPERLINK("https://gitcode.com/caiwenwen/ops-nn/blob/master/experimental/matmul/matmul_fp32/README.md#L66-L66","https://gitcode.com/caiwenwen/ops-nn/blob/master/experimental/matmul/matmul_fp32/README.md#L66-L66")</f>
        <v>https://gitcode.com/caiwenwen/ops-nn/blob/master/experimental/matmul/matmul_fp32/README.md#L66-L66</v>
      </c>
      <c r="E188" s="5" t="str">
        <v>66</v>
      </c>
      <c r="F188" s="5" t="str">
        <v>Html 标签匹配失败：&lt;/tr&gt;</v>
      </c>
      <c r="G188" s="5" t="str">
        <v>&lt;/tr&gt;</v>
      </c>
    </row>
    <row r="189">
      <c r="A189" s="5">
        <v>188</v>
      </c>
      <c r="B189" s="5" t="str">
        <v>tag-closed-check</v>
      </c>
      <c r="C189" s="5" t="str">
        <v>README.md</v>
      </c>
      <c r="D189" s="6" t="str">
        <f>=HYPERLINK("https://gitcode.com/caiwenwen/ops-nn/blob/master/experimental/matmul/matmul_fp32/README.md#L68-L68","https://gitcode.com/caiwenwen/ops-nn/blob/master/experimental/matmul/matmul_fp32/README.md#L68-L68")</f>
        <v>https://gitcode.com/caiwenwen/ops-nn/blob/master/experimental/matmul/matmul_fp32/README.md#L68-L68</v>
      </c>
      <c r="E189" s="5" t="str">
        <v>68</v>
      </c>
      <c r="F189" s="5" t="str">
        <v>Html 标签匹配失败：&lt;/tr&gt;</v>
      </c>
      <c r="G189" s="5" t="str">
        <v>&lt;/tr&gt;</v>
      </c>
    </row>
    <row r="190">
      <c r="A190" s="5">
        <v>189</v>
      </c>
      <c r="B190" s="5" t="str">
        <v>tag-closed-check</v>
      </c>
      <c r="C190" s="5" t="str">
        <v>README.md</v>
      </c>
      <c r="D190" s="6" t="str">
        <f>=HYPERLINK("https://gitcode.com/caiwenwen/ops-nn/blob/master/experimental/index/gather_elements_v3/README.md#L71-L71","https://gitcode.com/caiwenwen/ops-nn/blob/master/experimental/index/gather_elements_v3/README.md#L71-L71")</f>
        <v>https://gitcode.com/caiwenwen/ops-nn/blob/master/experimental/index/gather_elements_v3/README.md#L71-L71</v>
      </c>
      <c r="E190" s="5" t="str">
        <v>71</v>
      </c>
      <c r="F190" s="5" t="str">
        <v>Html 标签匹配失败：&lt;ul&gt;</v>
      </c>
      <c r="G190" s="5" t="str">
        <v>&lt;ul&gt;</v>
      </c>
    </row>
    <row r="191">
      <c r="A191" s="5">
        <v>190</v>
      </c>
      <c r="B191" s="5" t="str">
        <v>tag-closed-check</v>
      </c>
      <c r="C191" s="5" t="str">
        <v>README.md</v>
      </c>
      <c r="D191" s="6" t="str">
        <f>=HYPERLINK("https://gitcode.com/caiwenwen/ops-nn/blob/master/experimental/activation/swish_grad/README.md#L47-L47","https://gitcode.com/caiwenwen/ops-nn/blob/master/experimental/activation/swish_grad/README.md#L47-L47")</f>
        <v>https://gitcode.com/caiwenwen/ops-nn/blob/master/experimental/activation/swish_grad/README.md#L47-L47</v>
      </c>
      <c r="E191" s="5" t="str">
        <v>47</v>
      </c>
      <c r="F191" s="5" t="str">
        <v>Html 标签匹配失败：&lt;tr&gt;</v>
      </c>
      <c r="G191" s="5" t="str">
        <v>&lt;tr&gt;</v>
      </c>
    </row>
    <row r="192">
      <c r="A192" s="5">
        <v>191</v>
      </c>
      <c r="B192" s="5" t="str">
        <v>tag-closed-check</v>
      </c>
      <c r="C192" s="5" t="str">
        <v>aclnnQuantConvolutionWeightNz.md</v>
      </c>
      <c r="D192" s="6" t="str">
        <f>=HYPERLINK("https://gitcode.com/caiwenwen/ops-nn/blob/master/conv/convolution_forward/docs/aclnnQuantConvolutionWeightNz.md#L91-L91","https://gitcode.com/caiwenwen/ops-nn/blob/master/conv/convolution_forward/docs/aclnnQuantConvolutionWeightNz.md#L91-L91")</f>
        <v>https://gitcode.com/caiwenwen/ops-nn/blob/master/conv/convolution_forward/docs/aclnnQuantConvolutionWeightNz.md#L91-L91</v>
      </c>
      <c r="E192" s="5" t="str">
        <v>91</v>
      </c>
      <c r="F192" s="5" t="str">
        <v>Html 标签匹配失败：&lt;/tr&gt;</v>
      </c>
      <c r="G192" s="5" t="str">
        <v>&lt;/tr&gt;</v>
      </c>
    </row>
    <row r="193">
      <c r="A193" s="5">
        <v>192</v>
      </c>
      <c r="B193" s="5" t="str">
        <v>tag-closed-check</v>
      </c>
      <c r="C193" s="5" t="str">
        <v>aclnnQuantConvolutionWeightNz.md</v>
      </c>
      <c r="D193" s="6" t="str">
        <f>=HYPERLINK("https://gitcode.com/caiwenwen/ops-nn/blob/master/conv/convolution_forward/docs/aclnnQuantConvolutionWeightNz.md#L255-L255","https://gitcode.com/caiwenwen/ops-nn/blob/master/conv/convolution_forward/docs/aclnnQuantConvolutionWeightNz.md#L255-L255")</f>
        <v>https://gitcode.com/caiwenwen/ops-nn/blob/master/conv/convolution_forward/docs/aclnnQuantConvolutionWeightNz.md#L255-L255</v>
      </c>
      <c r="E193" s="5" t="str">
        <v>255</v>
      </c>
      <c r="F193" s="5" t="str">
        <v>Html 标签匹配失败：&lt;thead&gt;</v>
      </c>
      <c r="G193" s="5" t="str">
        <v>&lt;thead&gt;</v>
      </c>
    </row>
    <row r="194">
      <c r="A194" s="5">
        <v>193</v>
      </c>
      <c r="B194" s="5" t="str">
        <v>tag-closed-check</v>
      </c>
      <c r="C194" s="5" t="str">
        <v>aclnnQuantConvolution.md</v>
      </c>
      <c r="D194" s="6" t="str">
        <f>=HYPERLINK("https://gitcode.com/caiwenwen/ops-nn/blob/master/conv/convolution_forward/docs/aclnnQuantConvolution.md#L90-L90","https://gitcode.com/caiwenwen/ops-nn/blob/master/conv/convolution_forward/docs/aclnnQuantConvolution.md#L90-L90")</f>
        <v>https://gitcode.com/caiwenwen/ops-nn/blob/master/conv/convolution_forward/docs/aclnnQuantConvolution.md#L90-L90</v>
      </c>
      <c r="E194" s="5" t="str">
        <v>90</v>
      </c>
      <c r="F194" s="5" t="str">
        <v>Html 标签匹配失败：&lt;/tr&gt;</v>
      </c>
      <c r="G194" s="5" t="str">
        <v>&lt;/tr&gt;</v>
      </c>
    </row>
    <row r="195">
      <c r="A195" s="5">
        <v>194</v>
      </c>
      <c r="B195" s="5" t="str">
        <v>tag-closed-check</v>
      </c>
      <c r="C195" s="5" t="str">
        <v>aclnnQuantConvolution.md</v>
      </c>
      <c r="D195" s="6" t="str">
        <f>=HYPERLINK("https://gitcode.com/caiwenwen/ops-nn/blob/master/conv/convolution_forward/docs/aclnnQuantConvolution.md#L254-L254","https://gitcode.com/caiwenwen/ops-nn/blob/master/conv/convolution_forward/docs/aclnnQuantConvolution.md#L254-L254")</f>
        <v>https://gitcode.com/caiwenwen/ops-nn/blob/master/conv/convolution_forward/docs/aclnnQuantConvolution.md#L254-L254</v>
      </c>
      <c r="E195" s="5" t="str">
        <v>254</v>
      </c>
      <c r="F195" s="5" t="str">
        <v>Html 标签匹配失败：&lt;thead&gt;</v>
      </c>
      <c r="G195" s="5" t="str">
        <v>&lt;thead&gt;</v>
      </c>
    </row>
    <row r="196">
      <c r="A196" s="5">
        <v>195</v>
      </c>
      <c r="B196" s="5" t="str">
        <v>tag-closed-check</v>
      </c>
      <c r="C196" s="5" t="str">
        <v>aclnnQuantConvolution.md</v>
      </c>
      <c r="D196" s="6" t="str">
        <f>=HYPERLINK("https://gitcode.com/caiwenwen/ops-nn/blob/master/conv/convolution_forward/docs/aclnnQuantConvolution.md#L401-L401","https://gitcode.com/caiwenwen/ops-nn/blob/master/conv/convolution_forward/docs/aclnnQuantConvolution.md#L401-L401")</f>
        <v>https://gitcode.com/caiwenwen/ops-nn/blob/master/conv/convolution_forward/docs/aclnnQuantConvolution.md#L401-L401</v>
      </c>
      <c r="E196" s="5" t="str">
        <v>401</v>
      </c>
      <c r="F196" s="5" t="str">
        <v>Html 标签匹配失败：&lt;/td&gt;</v>
      </c>
      <c r="G196" s="5" t="str">
        <v>&lt;/td&gt;</v>
      </c>
    </row>
    <row r="197">
      <c r="A197" s="5">
        <v>196</v>
      </c>
      <c r="B197" s="5" t="str">
        <v>tag-closed-check</v>
      </c>
      <c r="C197" s="5" t="str">
        <v>aclnnConvTbc.md</v>
      </c>
      <c r="D197" s="6" t="str">
        <f>=HYPERLINK("https://gitcode.com/caiwenwen/ops-nn/blob/master/conv/convolution_forward/docs/aclnnConvTbc.md#L71-L71","https://gitcode.com/caiwenwen/ops-nn/blob/master/conv/convolution_forward/docs/aclnnConvTbc.md#L71-L71")</f>
        <v>https://gitcode.com/caiwenwen/ops-nn/blob/master/conv/convolution_forward/docs/aclnnConvTbc.md#L71-L71</v>
      </c>
      <c r="E197" s="5" t="str">
        <v>71</v>
      </c>
      <c r="F197" s="5" t="str">
        <v>Html 标签匹配失败：&lt;/li&gt;</v>
      </c>
      <c r="G197" s="5" t="str">
        <v>&lt;/li&gt;</v>
      </c>
    </row>
    <row r="198">
      <c r="A198" s="5">
        <v>197</v>
      </c>
      <c r="B198" s="5" t="str">
        <v>tag-closed-check</v>
      </c>
      <c r="C198" s="5" t="str">
        <v>aclnnConvTbc.md</v>
      </c>
      <c r="D198" s="6" t="str">
        <f>=HYPERLINK("https://gitcode.com/caiwenwen/ops-nn/blob/master/conv/convolution_forward/docs/aclnnConvTbc.md#L160-L160","https://gitcode.com/caiwenwen/ops-nn/blob/master/conv/convolution_forward/docs/aclnnConvTbc.md#L160-L160")</f>
        <v>https://gitcode.com/caiwenwen/ops-nn/blob/master/conv/convolution_forward/docs/aclnnConvTbc.md#L160-L160</v>
      </c>
      <c r="E198" s="5" t="str">
        <v>160</v>
      </c>
      <c r="F198" s="5" t="str">
        <v>Html 标签匹配失败：&lt;thead&gt;</v>
      </c>
      <c r="G198" s="5" t="str">
        <v>&lt;thead&gt;</v>
      </c>
    </row>
    <row r="199">
      <c r="A199" s="5">
        <v>198</v>
      </c>
      <c r="B199" s="5" t="str">
        <v>tag-closed-check</v>
      </c>
      <c r="C199" s="5" t="str">
        <v>aclnnConvTbc.md</v>
      </c>
      <c r="D199" s="6" t="str">
        <f>=HYPERLINK("https://gitcode.com/caiwenwen/ops-nn/blob/master/conv/convolution_forward/docs/aclnnConvTbc.md#L293-L293","https://gitcode.com/caiwenwen/ops-nn/blob/master/conv/convolution_forward/docs/aclnnConvTbc.md#L293-L293")</f>
        <v>https://gitcode.com/caiwenwen/ops-nn/blob/master/conv/convolution_forward/docs/aclnnConvTbc.md#L293-L293</v>
      </c>
      <c r="E199" s="5" t="str">
        <v>293</v>
      </c>
      <c r="F199" s="5" t="str">
        <v>Html 标签匹配失败：&lt;ul&gt;</v>
      </c>
      <c r="G199" s="5" t="str">
        <v>&lt;ul&gt;</v>
      </c>
    </row>
    <row r="200">
      <c r="A200" s="5">
        <v>199</v>
      </c>
      <c r="B200" s="5" t="str">
        <v>tag-closed-check</v>
      </c>
      <c r="C200" s="5" t="str">
        <v>aclnnConvTbc.md</v>
      </c>
      <c r="D200" s="6" t="str">
        <f>=HYPERLINK("https://gitcode.com/caiwenwen/ops-nn/blob/master/conv/convolution_forward/docs/aclnnConvTbc.md#L288-L288","https://gitcode.com/caiwenwen/ops-nn/blob/master/conv/convolution_forward/docs/aclnnConvTbc.md#L288-L288")</f>
        <v>https://gitcode.com/caiwenwen/ops-nn/blob/master/conv/convolution_forward/docs/aclnnConvTbc.md#L288-L288</v>
      </c>
      <c r="E200" s="5" t="str">
        <v>288</v>
      </c>
      <c r="F200" s="5" t="str">
        <v>Html 标签匹配失败：&lt;ul&gt;</v>
      </c>
      <c r="G200" s="5" t="str">
        <v>&lt;ul&gt;</v>
      </c>
    </row>
    <row r="201">
      <c r="A201" s="5">
        <v>200</v>
      </c>
      <c r="B201" s="5" t="str">
        <v>tag-closed-check</v>
      </c>
      <c r="C201" s="5" t="str">
        <v>aclnnConvolution.md</v>
      </c>
      <c r="D201" s="6" t="str">
        <f>=HYPERLINK("https://gitcode.com/caiwenwen/ops-nn/blob/master/conv/convolution_forward/docs/aclnnConvolution.md#L198-L198","https://gitcode.com/caiwenwen/ops-nn/blob/master/conv/convolution_forward/docs/aclnnConvolution.md#L198-L198")</f>
        <v>https://gitcode.com/caiwenwen/ops-nn/blob/master/conv/convolution_forward/docs/aclnnConvolution.md#L198-L198</v>
      </c>
      <c r="E201" s="5" t="str">
        <v>198</v>
      </c>
      <c r="F201" s="5" t="str">
        <v>Html 标签匹配失败：&lt;ul&gt;</v>
      </c>
      <c r="G201" s="5" t="str">
        <v>&lt;ul&gt;</v>
      </c>
    </row>
    <row r="202">
      <c r="A202" s="5">
        <v>201</v>
      </c>
      <c r="B202" s="5" t="str">
        <v>tag-closed-check</v>
      </c>
      <c r="C202" s="5" t="str">
        <v>aclnnConvolution.md</v>
      </c>
      <c r="D202" s="6" t="str">
        <f>=HYPERLINK("https://gitcode.com/caiwenwen/ops-nn/blob/master/conv/convolution_forward/docs/aclnnConvolution.md#L237-L237","https://gitcode.com/caiwenwen/ops-nn/blob/master/conv/convolution_forward/docs/aclnnConvolution.md#L237-L237")</f>
        <v>https://gitcode.com/caiwenwen/ops-nn/blob/master/conv/convolution_forward/docs/aclnnConvolution.md#L237-L237</v>
      </c>
      <c r="E202" s="5" t="str">
        <v>237</v>
      </c>
      <c r="F202" s="5" t="str">
        <v>Html 标签匹配失败：&lt;thead&gt;</v>
      </c>
      <c r="G202" s="5" t="str">
        <v>&lt;thead&gt;</v>
      </c>
    </row>
    <row r="203">
      <c r="A203" s="5">
        <v>202</v>
      </c>
      <c r="B203" s="5" t="str">
        <v>tag-closed-check</v>
      </c>
      <c r="C203" s="5" t="str">
        <v>aclnnConvolution.md</v>
      </c>
      <c r="D203" s="6" t="str">
        <f>=HYPERLINK("https://gitcode.com/caiwenwen/ops-nn/blob/master/conv/convolution_forward/docs/aclnnConvolution.md#L417-L417","https://gitcode.com/caiwenwen/ops-nn/blob/master/conv/convolution_forward/docs/aclnnConvolution.md#L417-L417")</f>
        <v>https://gitcode.com/caiwenwen/ops-nn/blob/master/conv/convolution_forward/docs/aclnnConvolution.md#L417-L417</v>
      </c>
      <c r="E203" s="5" t="str">
        <v>417</v>
      </c>
      <c r="F203" s="5" t="str">
        <v>Html 标签匹配失败：&lt;ul&gt;</v>
      </c>
      <c r="G203" s="5" t="str">
        <v>&lt;ul&gt;</v>
      </c>
    </row>
    <row r="204">
      <c r="A204" s="5">
        <v>203</v>
      </c>
      <c r="B204" s="5" t="str">
        <v>tag-closed-check</v>
      </c>
      <c r="C204" s="5" t="str">
        <v>aclnnConvolution.md</v>
      </c>
      <c r="D204" s="6" t="str">
        <f>=HYPERLINK("https://gitcode.com/caiwenwen/ops-nn/blob/master/conv/convolution_forward/docs/aclnnConvolution.md#L412-L412","https://gitcode.com/caiwenwen/ops-nn/blob/master/conv/convolution_forward/docs/aclnnConvolution.md#L412-L412")</f>
        <v>https://gitcode.com/caiwenwen/ops-nn/blob/master/conv/convolution_forward/docs/aclnnConvolution.md#L412-L412</v>
      </c>
      <c r="E204" s="5" t="str">
        <v>412</v>
      </c>
      <c r="F204" s="5" t="str">
        <v>Html 标签匹配失败：&lt;ul&gt;</v>
      </c>
      <c r="G204" s="5" t="str">
        <v>&lt;ul&gt;</v>
      </c>
    </row>
    <row r="205">
      <c r="A205" s="5">
        <v>204</v>
      </c>
      <c r="B205" s="5" t="str">
        <v>tag-closed-check</v>
      </c>
      <c r="C205" s="5" t="str">
        <v>aclnnConvolution.md</v>
      </c>
      <c r="D205" s="6" t="str">
        <f>=HYPERLINK("https://gitcode.com/caiwenwen/ops-nn/blob/master/conv/convolution_forward/docs/aclnnConvolution.md#L433-L433","https://gitcode.com/caiwenwen/ops-nn/blob/master/conv/convolution_forward/docs/aclnnConvolution.md#L433-L433")</f>
        <v>https://gitcode.com/caiwenwen/ops-nn/blob/master/conv/convolution_forward/docs/aclnnConvolution.md#L433-L433</v>
      </c>
      <c r="E205" s="5" t="str">
        <v>433</v>
      </c>
      <c r="F205" s="5" t="str">
        <v>Html 标签匹配失败：&lt;ul&gt;</v>
      </c>
      <c r="G205" s="5" t="str">
        <v>&lt;ul&gt;</v>
      </c>
    </row>
    <row r="206">
      <c r="A206" s="5">
        <v>205</v>
      </c>
      <c r="B206" s="5" t="str">
        <v>tag-closed-check</v>
      </c>
      <c r="C206" s="5" t="str">
        <v>aclnnConvolution.md</v>
      </c>
      <c r="D206" s="6" t="str">
        <f>=HYPERLINK("https://gitcode.com/caiwenwen/ops-nn/blob/master/conv/convolution_forward/docs/aclnnConvolution.md#L428-L428","https://gitcode.com/caiwenwen/ops-nn/blob/master/conv/convolution_forward/docs/aclnnConvolution.md#L428-L428")</f>
        <v>https://gitcode.com/caiwenwen/ops-nn/blob/master/conv/convolution_forward/docs/aclnnConvolution.md#L428-L428</v>
      </c>
      <c r="E206" s="5" t="str">
        <v>428</v>
      </c>
      <c r="F206" s="5" t="str">
        <v>Html 标签匹配失败：&lt;ul&gt;</v>
      </c>
      <c r="G206" s="5" t="str">
        <v>&lt;ul&gt;</v>
      </c>
    </row>
    <row r="207">
      <c r="A207" s="5">
        <v>206</v>
      </c>
      <c r="B207" s="5" t="str">
        <v>tag-closed-check</v>
      </c>
      <c r="C207" s="5" t="str">
        <v>aclnnConvDepthwise2d.md</v>
      </c>
      <c r="D207" s="6" t="str">
        <f>=HYPERLINK("https://gitcode.com/caiwenwen/ops-nn/blob/master/conv/convolution_forward/docs/aclnnConvDepthwise2d.md#L96-L96","https://gitcode.com/caiwenwen/ops-nn/blob/master/conv/convolution_forward/docs/aclnnConvDepthwise2d.md#L96-L96")</f>
        <v>https://gitcode.com/caiwenwen/ops-nn/blob/master/conv/convolution_forward/docs/aclnnConvDepthwise2d.md#L96-L96</v>
      </c>
      <c r="E207" s="5" t="str">
        <v>96</v>
      </c>
      <c r="F207" s="5" t="str">
        <v>Html 标签匹配失败：&lt;ul&gt;</v>
      </c>
      <c r="G207" s="5" t="str">
        <v>&lt;ul&gt;</v>
      </c>
    </row>
    <row r="208">
      <c r="A208" s="5">
        <v>207</v>
      </c>
      <c r="B208" s="5" t="str">
        <v>tag-closed-check</v>
      </c>
      <c r="C208" s="5" t="str">
        <v>aclnnConvDepthwise2d.md</v>
      </c>
      <c r="D208" s="6" t="str">
        <f>=HYPERLINK("https://gitcode.com/caiwenwen/ops-nn/blob/master/conv/convolution_forward/docs/aclnnConvDepthwise2d.md#L194-L194","https://gitcode.com/caiwenwen/ops-nn/blob/master/conv/convolution_forward/docs/aclnnConvDepthwise2d.md#L194-L194")</f>
        <v>https://gitcode.com/caiwenwen/ops-nn/blob/master/conv/convolution_forward/docs/aclnnConvDepthwise2d.md#L194-L194</v>
      </c>
      <c r="E208" s="5" t="str">
        <v>194</v>
      </c>
      <c r="F208" s="5" t="str">
        <v>Html 标签匹配失败：&lt;thead&gt;</v>
      </c>
      <c r="G208" s="5" t="str">
        <v>&lt;thead&gt;</v>
      </c>
    </row>
    <row r="209">
      <c r="A209" s="5">
        <v>208</v>
      </c>
      <c r="B209" s="5" t="str">
        <v>tag-closed-check</v>
      </c>
      <c r="C209" s="5" t="str">
        <v>aclnnConvDepthwise2d.md</v>
      </c>
      <c r="D209" s="6" t="str">
        <f>=HYPERLINK("https://gitcode.com/caiwenwen/ops-nn/blob/master/conv/convolution_forward/docs/aclnnConvDepthwise2d.md#L308-L308","https://gitcode.com/caiwenwen/ops-nn/blob/master/conv/convolution_forward/docs/aclnnConvDepthwise2d.md#L308-L308")</f>
        <v>https://gitcode.com/caiwenwen/ops-nn/blob/master/conv/convolution_forward/docs/aclnnConvDepthwise2d.md#L308-L308</v>
      </c>
      <c r="E209" s="5" t="str">
        <v>308</v>
      </c>
      <c r="F209" s="5" t="str">
        <v>Html 标签匹配失败：&lt;ul&gt;</v>
      </c>
      <c r="G209" s="5" t="str">
        <v>&lt;ul&gt;</v>
      </c>
    </row>
    <row r="210">
      <c r="A210" s="5">
        <v>209</v>
      </c>
      <c r="B210" s="5" t="str">
        <v>tag-closed-check</v>
      </c>
      <c r="C210" s="5" t="str">
        <v>aclnnConvDepthwise2d.md</v>
      </c>
      <c r="D210" s="6" t="str">
        <f>=HYPERLINK("https://gitcode.com/caiwenwen/ops-nn/blob/master/conv/convolution_forward/docs/aclnnConvDepthwise2d.md#L304-L304","https://gitcode.com/caiwenwen/ops-nn/blob/master/conv/convolution_forward/docs/aclnnConvDepthwise2d.md#L304-L304")</f>
        <v>https://gitcode.com/caiwenwen/ops-nn/blob/master/conv/convolution_forward/docs/aclnnConvDepthwise2d.md#L304-L304</v>
      </c>
      <c r="E210" s="5" t="str">
        <v>304</v>
      </c>
      <c r="F210" s="5" t="str">
        <v>Html 标签匹配失败：&lt;ul&gt;</v>
      </c>
      <c r="G210" s="5" t="str">
        <v>&lt;ul&gt;</v>
      </c>
    </row>
    <row r="211">
      <c r="A211" s="5">
        <v>210</v>
      </c>
      <c r="B211" s="5" t="str">
        <v>tag-closed-check</v>
      </c>
      <c r="C211" s="5" t="str">
        <v>aclnnConvTbcBackward.md</v>
      </c>
      <c r="D211" s="6" t="str">
        <f>=HYPERLINK("https://gitcode.com/caiwenwen/ops-nn/blob/master/conv/convolution_backward/docs/aclnnConvTbcBackward.md#L227-L227","https://gitcode.com/caiwenwen/ops-nn/blob/master/conv/convolution_backward/docs/aclnnConvTbcBackward.md#L227-L227")</f>
        <v>https://gitcode.com/caiwenwen/ops-nn/blob/master/conv/convolution_backward/docs/aclnnConvTbcBackward.md#L227-L227</v>
      </c>
      <c r="E211" s="5" t="str">
        <v>227</v>
      </c>
      <c r="F211" s="5" t="str">
        <v>Html 标签匹配失败：&lt;ul&gt;</v>
      </c>
      <c r="G211" s="5" t="str">
        <v>&lt;ul&gt;</v>
      </c>
    </row>
    <row r="212">
      <c r="A212" s="5">
        <v>211</v>
      </c>
      <c r="B212" s="5" t="str">
        <v>tag-closed-check</v>
      </c>
      <c r="C212" s="5" t="str">
        <v>aclnnConvolutionBackward.md</v>
      </c>
      <c r="D212" s="6" t="str">
        <f>=HYPERLINK("https://gitcode.com/caiwenwen/ops-nn/blob/master/conv/convolution_backward/docs/aclnnConvolutionBackward.md#L119-L119","https://gitcode.com/caiwenwen/ops-nn/blob/master/conv/convolution_backward/docs/aclnnConvolutionBackward.md#L119-L119")</f>
        <v>https://gitcode.com/caiwenwen/ops-nn/blob/master/conv/convolution_backward/docs/aclnnConvolutionBackward.md#L119-L119</v>
      </c>
      <c r="E212" s="5" t="str">
        <v>119</v>
      </c>
      <c r="F212" s="5" t="str">
        <v>Html 标签匹配失败：&lt;ul&gt;</v>
      </c>
      <c r="G212" s="5" t="str">
        <v>&lt;ul&gt;</v>
      </c>
    </row>
    <row r="213">
      <c r="A213" s="5">
        <v>212</v>
      </c>
      <c r="B213" s="5" t="str">
        <v>tag-closed-check</v>
      </c>
      <c r="C213" s="5" t="str">
        <v>aclnnConvolutionBackward.md</v>
      </c>
      <c r="D213" s="6" t="str">
        <f>=HYPERLINK("https://gitcode.com/caiwenwen/ops-nn/blob/master/conv/convolution_backward/docs/aclnnConvolutionBackward.md#L134-L134","https://gitcode.com/caiwenwen/ops-nn/blob/master/conv/convolution_backward/docs/aclnnConvolutionBackward.md#L134-L134")</f>
        <v>https://gitcode.com/caiwenwen/ops-nn/blob/master/conv/convolution_backward/docs/aclnnConvolutionBackward.md#L134-L134</v>
      </c>
      <c r="E213" s="5" t="str">
        <v>134</v>
      </c>
      <c r="F213" s="5" t="str">
        <v>Html 标签匹配失败：&lt;ul&gt;</v>
      </c>
      <c r="G213" s="5" t="str">
        <v>&lt;ul&gt;</v>
      </c>
    </row>
    <row r="214">
      <c r="A214" s="5">
        <v>213</v>
      </c>
      <c r="B214" s="5" t="str">
        <v>tag-closed-check</v>
      </c>
      <c r="C214" s="5" t="str">
        <v>aclnnConvolutionBackward.md</v>
      </c>
      <c r="D214" s="6" t="str">
        <f>=HYPERLINK("https://gitcode.com/caiwenwen/ops-nn/blob/master/conv/convolution_backward/docs/aclnnConvolutionBackward.md#L149-L149","https://gitcode.com/caiwenwen/ops-nn/blob/master/conv/convolution_backward/docs/aclnnConvolutionBackward.md#L149-L149")</f>
        <v>https://gitcode.com/caiwenwen/ops-nn/blob/master/conv/convolution_backward/docs/aclnnConvolutionBackward.md#L149-L149</v>
      </c>
      <c r="E214" s="5" t="str">
        <v>149</v>
      </c>
      <c r="F214" s="5" t="str">
        <v>Html 标签匹配失败：&lt;ul&gt;</v>
      </c>
      <c r="G214" s="5" t="str">
        <v>&lt;ul&gt;</v>
      </c>
    </row>
    <row r="215">
      <c r="A215" s="5">
        <v>214</v>
      </c>
      <c r="B215" s="5" t="str">
        <v>tag-closed-check</v>
      </c>
      <c r="C215" s="5" t="str">
        <v>aclnnConvolutionBackward.md</v>
      </c>
      <c r="D215" s="6" t="str">
        <f>=HYPERLINK("https://gitcode.com/caiwenwen/ops-nn/blob/master/conv/convolution_backward/docs/aclnnConvolutionBackward.md#L164-L164","https://gitcode.com/caiwenwen/ops-nn/blob/master/conv/convolution_backward/docs/aclnnConvolutionBackward.md#L164-L164")</f>
        <v>https://gitcode.com/caiwenwen/ops-nn/blob/master/conv/convolution_backward/docs/aclnnConvolutionBackward.md#L164-L164</v>
      </c>
      <c r="E215" s="5" t="str">
        <v>164</v>
      </c>
      <c r="F215" s="5" t="str">
        <v>Html 标签匹配失败：&lt;ul&gt;</v>
      </c>
      <c r="G215" s="5" t="str">
        <v>&lt;ul&gt;</v>
      </c>
    </row>
    <row r="216">
      <c r="A216" s="5">
        <v>215</v>
      </c>
      <c r="B216" s="5" t="str">
        <v>tag-closed-check</v>
      </c>
      <c r="C216" s="5" t="str">
        <v>aclnnConvolutionBackward.md</v>
      </c>
      <c r="D216" s="6" t="str">
        <f>=HYPERLINK("https://gitcode.com/caiwenwen/ops-nn/blob/master/conv/convolution_backward/docs/aclnnConvolutionBackward.md#L178-L178","https://gitcode.com/caiwenwen/ops-nn/blob/master/conv/convolution_backward/docs/aclnnConvolutionBackward.md#L178-L178")</f>
        <v>https://gitcode.com/caiwenwen/ops-nn/blob/master/conv/convolution_backward/docs/aclnnConvolutionBackward.md#L178-L178</v>
      </c>
      <c r="E216" s="5" t="str">
        <v>178</v>
      </c>
      <c r="F216" s="5" t="str">
        <v>Html 标签匹配失败：&lt;ul&gt;</v>
      </c>
      <c r="G216" s="5" t="str">
        <v>&lt;ul&gt;</v>
      </c>
    </row>
    <row r="217">
      <c r="A217" s="5">
        <v>216</v>
      </c>
      <c r="B217" s="5" t="str">
        <v>tag-closed-check</v>
      </c>
      <c r="C217" s="5" t="str">
        <v>aclnnConvolutionBackward.md</v>
      </c>
      <c r="D217" s="6" t="str">
        <f>=HYPERLINK("https://gitcode.com/caiwenwen/ops-nn/blob/master/conv/convolution_backward/docs/aclnnConvolutionBackward.md#L191-L191","https://gitcode.com/caiwenwen/ops-nn/blob/master/conv/convolution_backward/docs/aclnnConvolutionBackward.md#L191-L191")</f>
        <v>https://gitcode.com/caiwenwen/ops-nn/blob/master/conv/convolution_backward/docs/aclnnConvolutionBackward.md#L191-L191</v>
      </c>
      <c r="E217" s="5" t="str">
        <v>191</v>
      </c>
      <c r="F217" s="5" t="str">
        <v>Html 标签匹配失败：&lt;ul&gt;</v>
      </c>
      <c r="G217" s="5" t="str">
        <v>&lt;ul&gt;</v>
      </c>
    </row>
    <row r="218">
      <c r="A218" s="5">
        <v>217</v>
      </c>
      <c r="B218" s="5" t="str">
        <v>tag-closed-check</v>
      </c>
      <c r="C218" s="5" t="str">
        <v>aclnnConvolutionBackward.md</v>
      </c>
      <c r="D218" s="6" t="str">
        <f>=HYPERLINK("https://gitcode.com/caiwenwen/ops-nn/blob/master/conv/convolution_backward/docs/aclnnConvolutionBackward.md#L205-L205","https://gitcode.com/caiwenwen/ops-nn/blob/master/conv/convolution_backward/docs/aclnnConvolutionBackward.md#L205-L205")</f>
        <v>https://gitcode.com/caiwenwen/ops-nn/blob/master/conv/convolution_backward/docs/aclnnConvolutionBackward.md#L205-L205</v>
      </c>
      <c r="E218" s="5" t="str">
        <v>205</v>
      </c>
      <c r="F218" s="5" t="str">
        <v>Html 标签匹配失败：&lt;ul&gt;</v>
      </c>
      <c r="G218" s="5" t="str">
        <v>&lt;ul&gt;</v>
      </c>
    </row>
    <row r="219">
      <c r="A219" s="5">
        <v>218</v>
      </c>
      <c r="B219" s="5" t="str">
        <v>tag-closed-check</v>
      </c>
      <c r="C219" s="5" t="str">
        <v>aclnnConvolutionBackward.md</v>
      </c>
      <c r="D219" s="6" t="str">
        <f>=HYPERLINK("https://gitcode.com/caiwenwen/ops-nn/blob/master/conv/convolution_backward/docs/aclnnConvolutionBackward.md#L229-L229","https://gitcode.com/caiwenwen/ops-nn/blob/master/conv/convolution_backward/docs/aclnnConvolutionBackward.md#L229-L229")</f>
        <v>https://gitcode.com/caiwenwen/ops-nn/blob/master/conv/convolution_backward/docs/aclnnConvolutionBackward.md#L229-L229</v>
      </c>
      <c r="E219" s="5" t="str">
        <v>229</v>
      </c>
      <c r="F219" s="5" t="str">
        <v>Html 标签匹配失败：&lt;ul&gt;</v>
      </c>
      <c r="G219" s="5" t="str">
        <v>&lt;ul&gt;</v>
      </c>
    </row>
    <row r="220">
      <c r="A220" s="5">
        <v>219</v>
      </c>
      <c r="B220" s="5" t="str">
        <v>tag-closed-check</v>
      </c>
      <c r="C220" s="5" t="str">
        <v>aclnnConvolutionBackward.md</v>
      </c>
      <c r="D220" s="6" t="str">
        <f>=HYPERLINK("https://gitcode.com/caiwenwen/ops-nn/blob/master/conv/convolution_backward/docs/aclnnConvolutionBackward.md#L253-L253","https://gitcode.com/caiwenwen/ops-nn/blob/master/conv/convolution_backward/docs/aclnnConvolutionBackward.md#L253-L253")</f>
        <v>https://gitcode.com/caiwenwen/ops-nn/blob/master/conv/convolution_backward/docs/aclnnConvolutionBackward.md#L253-L253</v>
      </c>
      <c r="E220" s="5" t="str">
        <v>253</v>
      </c>
      <c r="F220" s="5" t="str">
        <v>Html 标签匹配失败：&lt;ul&gt;</v>
      </c>
      <c r="G220" s="5" t="str">
        <v>&lt;ul&gt;</v>
      </c>
    </row>
    <row r="221">
      <c r="A221" s="5">
        <v>220</v>
      </c>
      <c r="B221" s="5" t="str">
        <v>tag-closed-check</v>
      </c>
      <c r="C221" s="5" t="str">
        <v>aclnnConvolutionBackward.md</v>
      </c>
      <c r="D221" s="6" t="str">
        <f>=HYPERLINK("https://gitcode.com/caiwenwen/ops-nn/blob/master/conv/convolution_backward/docs/aclnnConvolutionBackward.md#L269-L269","https://gitcode.com/caiwenwen/ops-nn/blob/master/conv/convolution_backward/docs/aclnnConvolutionBackward.md#L269-L269")</f>
        <v>https://gitcode.com/caiwenwen/ops-nn/blob/master/conv/convolution_backward/docs/aclnnConvolutionBackward.md#L269-L269</v>
      </c>
      <c r="E221" s="5" t="str">
        <v>269</v>
      </c>
      <c r="F221" s="5" t="str">
        <v>Html 标签匹配失败：&lt;ul&gt;</v>
      </c>
      <c r="G221" s="5" t="str">
        <v>&lt;ul&gt;</v>
      </c>
    </row>
    <row r="222">
      <c r="A222" s="5">
        <v>221</v>
      </c>
      <c r="B222" s="5" t="str">
        <v>tag-closed-check</v>
      </c>
      <c r="C222" s="5" t="str">
        <v>aclnnConvolutionBackward.md</v>
      </c>
      <c r="D222" s="6" t="str">
        <f>=HYPERLINK("https://gitcode.com/caiwenwen/ops-nn/blob/master/conv/convolution_backward/docs/aclnnConvolutionBackward.md#L267-L267","https://gitcode.com/caiwenwen/ops-nn/blob/master/conv/convolution_backward/docs/aclnnConvolutionBackward.md#L267-L267")</f>
        <v>https://gitcode.com/caiwenwen/ops-nn/blob/master/conv/convolution_backward/docs/aclnnConvolutionBackward.md#L267-L267</v>
      </c>
      <c r="E222" s="5" t="str">
        <v>267</v>
      </c>
      <c r="F222" s="5" t="str">
        <v>Html 标签匹配失败：&lt;ul&gt;</v>
      </c>
      <c r="G222" s="5" t="str">
        <v>&lt;ul&gt;</v>
      </c>
    </row>
    <row r="223">
      <c r="A223" s="5">
        <v>222</v>
      </c>
      <c r="B223" s="5" t="str">
        <v>tag-closed-check</v>
      </c>
      <c r="C223" s="5" t="str">
        <v>aclnnConvolutionBackward.md</v>
      </c>
      <c r="D223" s="6" t="str">
        <f>=HYPERLINK("https://gitcode.com/caiwenwen/ops-nn/blob/master/conv/convolution_backward/docs/aclnnConvolutionBackward.md#L284-L284","https://gitcode.com/caiwenwen/ops-nn/blob/master/conv/convolution_backward/docs/aclnnConvolutionBackward.md#L284-L284")</f>
        <v>https://gitcode.com/caiwenwen/ops-nn/blob/master/conv/convolution_backward/docs/aclnnConvolutionBackward.md#L284-L284</v>
      </c>
      <c r="E223" s="5" t="str">
        <v>284</v>
      </c>
      <c r="F223" s="5" t="str">
        <v>Html 标签匹配失败：&lt;ul&gt;</v>
      </c>
      <c r="G223" s="5" t="str">
        <v>&lt;ul&gt;</v>
      </c>
    </row>
    <row r="224">
      <c r="A224" s="5">
        <v>223</v>
      </c>
      <c r="B224" s="5" t="str">
        <v>tag-closed-check</v>
      </c>
      <c r="C224" s="5" t="str">
        <v>aclnnConvolutionBackward.md</v>
      </c>
      <c r="D224" s="6" t="str">
        <f>=HYPERLINK("https://gitcode.com/caiwenwen/ops-nn/blob/master/conv/convolution_backward/docs/aclnnConvolutionBackward.md#L298-L298","https://gitcode.com/caiwenwen/ops-nn/blob/master/conv/convolution_backward/docs/aclnnConvolutionBackward.md#L298-L298")</f>
        <v>https://gitcode.com/caiwenwen/ops-nn/blob/master/conv/convolution_backward/docs/aclnnConvolutionBackward.md#L298-L298</v>
      </c>
      <c r="E224" s="5" t="str">
        <v>298</v>
      </c>
      <c r="F224" s="5" t="str">
        <v>Html 标签匹配失败：&lt;ul&gt;</v>
      </c>
      <c r="G224" s="5" t="str">
        <v>&lt;ul&gt;</v>
      </c>
    </row>
    <row r="225">
      <c r="A225" s="5">
        <v>224</v>
      </c>
      <c r="B225" s="5" t="str">
        <v>tag-closed-check</v>
      </c>
      <c r="C225" s="5" t="str">
        <v>aclnnConvolutionBackward.md</v>
      </c>
      <c r="D225" s="6" t="str">
        <f>=HYPERLINK("https://gitcode.com/caiwenwen/ops-nn/blob/master/conv/convolution_backward/docs/aclnnConvolutionBackward.md#L311-L311","https://gitcode.com/caiwenwen/ops-nn/blob/master/conv/convolution_backward/docs/aclnnConvolutionBackward.md#L311-L311")</f>
        <v>https://gitcode.com/caiwenwen/ops-nn/blob/master/conv/convolution_backward/docs/aclnnConvolutionBackward.md#L311-L311</v>
      </c>
      <c r="E225" s="5" t="str">
        <v>311</v>
      </c>
      <c r="F225" s="5" t="str">
        <v>Html 标签匹配失败：&lt;ul&gt;</v>
      </c>
      <c r="G225" s="5" t="str">
        <v>&lt;ul&gt;</v>
      </c>
    </row>
    <row r="226">
      <c r="A226" s="5">
        <v>225</v>
      </c>
      <c r="B226" s="5" t="str">
        <v>tag-closed-check</v>
      </c>
      <c r="C226" s="5" t="str">
        <v>aclnnThresholdBackward.md</v>
      </c>
      <c r="D226" s="6" t="str">
        <f>=HYPERLINK("https://gitcode.com/caiwenwen/ops-nn/blob/master/activation/threshold_grad_v2_d/docs/aclnnThresholdBackward.md#L107-L107","https://gitcode.com/caiwenwen/ops-nn/blob/master/activation/threshold_grad_v2_d/docs/aclnnThresholdBackward.md#L107-L107")</f>
        <v>https://gitcode.com/caiwenwen/ops-nn/blob/master/activation/threshold_grad_v2_d/docs/aclnnThresholdBackward.md#L107-L107</v>
      </c>
      <c r="E226" s="5" t="str">
        <v>107</v>
      </c>
      <c r="F226" s="5" t="str">
        <v>Html 标签匹配失败：&lt;tr&gt;</v>
      </c>
      <c r="G226" s="5" t="str">
        <v>&lt;tr&gt;</v>
      </c>
    </row>
    <row r="227">
      <c r="A227" s="5">
        <v>226</v>
      </c>
      <c r="B227" s="5" t="str">
        <v>tag-closed-check</v>
      </c>
      <c r="C227" s="5" t="str">
        <v>aclnnLogSigmoidBackward.md</v>
      </c>
      <c r="D227" s="6" t="str">
        <f>=HYPERLINK("https://gitcode.com/caiwenwen/ops-nn/blob/master/activation/logsigmoid_grad/docs/aclnnLogSigmoidBackward.md#L98-L98","https://gitcode.com/caiwenwen/ops-nn/blob/master/activation/logsigmoid_grad/docs/aclnnLogSigmoidBackward.md#L98-L98")</f>
        <v>https://gitcode.com/caiwenwen/ops-nn/blob/master/activation/logsigmoid_grad/docs/aclnnLogSigmoidBackward.md#L98-L98</v>
      </c>
      <c r="E227" s="5" t="str">
        <v>98</v>
      </c>
      <c r="F227" s="5" t="str">
        <v>Html 标签匹配失败：&lt;/tr&gt;</v>
      </c>
      <c r="G227" s="5" t="str">
        <v>&lt;/tr&gt;</v>
      </c>
    </row>
    <row r="228">
      <c r="A228" s="5">
        <v>227</v>
      </c>
      <c r="B228" s="5" t="str">
        <v>tag-closed-check</v>
      </c>
      <c r="C228" s="5" t="str">
        <v>aclnnLogSigmoidBackward.md</v>
      </c>
      <c r="D228" s="6" t="str">
        <f>=HYPERLINK("https://gitcode.com/caiwenwen/ops-nn/blob/master/activation/logsigmoid_grad/docs/aclnnLogSigmoidBackward.md#L107-L107","https://gitcode.com/caiwenwen/ops-nn/blob/master/activation/logsigmoid_grad/docs/aclnnLogSigmoidBackward.md#L107-L107")</f>
        <v>https://gitcode.com/caiwenwen/ops-nn/blob/master/activation/logsigmoid_grad/docs/aclnnLogSigmoidBackward.md#L107-L107</v>
      </c>
      <c r="E228" s="5" t="str">
        <v>107</v>
      </c>
      <c r="F228" s="5" t="str">
        <v>Html 标签匹配失败：&lt;/tr&gt;</v>
      </c>
      <c r="G228" s="5" t="str">
        <v>&lt;/tr&gt;</v>
      </c>
    </row>
    <row r="229">
      <c r="A229" s="5">
        <v>228</v>
      </c>
      <c r="B229" s="5" t="str">
        <v>tag-closed-check</v>
      </c>
      <c r="C229" s="5" t="str">
        <v>aclnnHardswishBackwardV2.md</v>
      </c>
      <c r="D229" s="6" t="str">
        <f>=HYPERLINK("https://gitcode.com/caiwenwen/ops-nn/blob/master/activation/hard_swish_grad_v2/docs/aclnnHardswishBackwardV2.md#L173-L173","https://gitcode.com/caiwenwen/ops-nn/blob/master/activation/hard_swish_grad_v2/docs/aclnnHardswishBackwardV2.md#L173-L173")</f>
        <v>https://gitcode.com/caiwenwen/ops-nn/blob/master/activation/hard_swish_grad_v2/docs/aclnnHardswishBackwardV2.md#L173-L173</v>
      </c>
      <c r="E229" s="5" t="str">
        <v>173</v>
      </c>
      <c r="F229" s="5" t="str">
        <v>Html 标签匹配失败：&lt;tr&gt;</v>
      </c>
      <c r="G229" s="5" t="str">
        <v>&lt;tr&gt;</v>
      </c>
    </row>
    <row r="230">
      <c r="A230" s="5">
        <v>229</v>
      </c>
      <c r="B230" s="5" t="str">
        <v>tag-closed-check</v>
      </c>
      <c r="C230" s="5" t="str">
        <v>aclnnGeGluV3Backward.md</v>
      </c>
      <c r="D230" s="6" t="str">
        <f>=HYPERLINK("https://gitcode.com/caiwenwen/ops-nn/blob/master/activation/ge_glu_grad_v2/docs/aclnnGeGluV3Backward.md#L99-L99","https://gitcode.com/caiwenwen/ops-nn/blob/master/activation/ge_glu_grad_v2/docs/aclnnGeGluV3Backward.md#L99-L99")</f>
        <v>https://gitcode.com/caiwenwen/ops-nn/blob/master/activation/ge_glu_grad_v2/docs/aclnnGeGluV3Backward.md#L99-L99</v>
      </c>
      <c r="E230" s="5" t="str">
        <v>99</v>
      </c>
      <c r="F230" s="5" t="str">
        <v>Html 标签匹配失败：&lt;/tr&gt;</v>
      </c>
      <c r="G230" s="5" t="str">
        <v>&lt;/tr&gt;</v>
      </c>
    </row>
    <row r="231">
      <c r="A231" s="5">
        <v>230</v>
      </c>
      <c r="B231" s="5" t="str">
        <v>tag-closed-check</v>
      </c>
      <c r="C231" s="5" t="str">
        <v>aclnnGeGluBackward.md</v>
      </c>
      <c r="D231" s="6" t="str">
        <f>=HYPERLINK("https://gitcode.com/caiwenwen/ops-nn/blob/master/activation/ge_glu_grad_v2/docs/aclnnGeGluBackward.md#L114-L114","https://gitcode.com/caiwenwen/ops-nn/blob/master/activation/ge_glu_grad_v2/docs/aclnnGeGluBackward.md#L114-L114")</f>
        <v>https://gitcode.com/caiwenwen/ops-nn/blob/master/activation/ge_glu_grad_v2/docs/aclnnGeGluBackward.md#L114-L114</v>
      </c>
      <c r="E231" s="5" t="str">
        <v>114</v>
      </c>
      <c r="F231" s="5" t="str">
        <v>Html 标签匹配失败：&lt;/tr&gt;</v>
      </c>
      <c r="G231" s="5" t="str">
        <v>&lt;/tr&gt;</v>
      </c>
    </row>
    <row r="232">
      <c r="A232" s="5">
        <v>231</v>
      </c>
      <c r="B232" s="5" t="str">
        <v>tag-closed-check</v>
      </c>
      <c r="C232" s="5" t="str">
        <v>aclnnGeluQuant.md</v>
      </c>
      <c r="D232" s="6" t="str">
        <f>=HYPERLINK("https://gitcode.com/caiwenwen/ops-nn/blob/master/activation/gelu_quant/docs/aclnnGeluQuant.md#L150-L150","https://gitcode.com/caiwenwen/ops-nn/blob/master/activation/gelu_quant/docs/aclnnGeluQuant.md#L150-L150")</f>
        <v>https://gitcode.com/caiwenwen/ops-nn/blob/master/activation/gelu_quant/docs/aclnnGeluQuant.md#L150-L150</v>
      </c>
      <c r="E232" s="5" t="str">
        <v>150</v>
      </c>
      <c r="F232" s="5" t="str">
        <v>Html 标签匹配失败：&lt;/tr&gt;</v>
      </c>
      <c r="G232" s="5" t="str">
        <v>&lt;/tr&gt;</v>
      </c>
    </row>
  </sheetData>
  <ignoredErrors>
    <ignoredError numberStoredAsText="1" sqref="A1:G2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